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1" autoFilterDateGrouping="1"/>
  </bookViews>
  <sheets>
    <sheet xmlns:r="http://schemas.openxmlformats.org/officeDocument/2006/relationships" name="Collection_Guide" sheetId="1" state="visible" r:id="rId1"/>
    <sheet xmlns:r="http://schemas.openxmlformats.org/officeDocument/2006/relationships" name="안내" sheetId="2" state="visible" r:id="rId2"/>
    <sheet xmlns:r="http://schemas.openxmlformats.org/officeDocument/2006/relationships" name="평가" sheetId="3" state="visible" r:id="rId3"/>
    <sheet xmlns:r="http://schemas.openxmlformats.org/officeDocument/2006/relationships" name="집계분석" sheetId="4" state="visible" r:id="rId4"/>
    <sheet xmlns:r="http://schemas.openxmlformats.org/officeDocument/2006/relationships" name="학과상세_참고용" sheetId="5" state="hidden" r:id="rId5"/>
    <sheet xmlns:r="http://schemas.openxmlformats.org/officeDocument/2006/relationships" name="분석용_쌍데이터" sheetId="6" state="visible" r:id="rId6"/>
    <sheet xmlns:r="http://schemas.openxmlformats.org/officeDocument/2006/relationships" name="Response_QA" sheetId="7" state="visible" r:id="rId7"/>
  </sheets>
  <definedNames>
    <definedName name="_xlnm._FilterDatabase" localSheetId="2" hidden="1">'평가'!$A$5:$R$29</definedName>
    <definedName name="_xlnm._FilterDatabase" localSheetId="5" hidden="1">'분석용_쌍데이터'!$A$3:$M$279</definedName>
    <definedName name="_xlnm._FilterDatabase" localSheetId="6" hidden="1">'Response_QA'!$A$1:$AC$15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8">
    <font>
      <name val="Calibri"/>
      <color theme="1"/>
      <sz val="11"/>
    </font>
    <font>
      <name val="Noto Sans CJK SC"/>
      <b val="1"/>
      <color rgb="FFFFFFFF"/>
      <sz val="16"/>
    </font>
    <font>
      <name val="Noto Sans CJK SC"/>
      <b val="1"/>
      <sz val="11"/>
    </font>
    <font>
      <name val="Noto Sans CJK SC"/>
      <sz val="10"/>
    </font>
    <font>
      <name val="맑은 고딕"/>
      <charset val="129"/>
      <family val="3"/>
      <sz val="10"/>
    </font>
    <font>
      <name val="Noto Sans CJK SC"/>
      <b val="1"/>
      <color rgb="FFC73E1D"/>
      <sz val="11"/>
    </font>
    <font>
      <name val="맑은 고딕"/>
      <charset val="129"/>
      <family val="3"/>
      <b val="1"/>
      <color rgb="FFC73E1D"/>
      <sz val="11"/>
    </font>
    <font>
      <name val="맑은 고딕"/>
      <charset val="129"/>
      <family val="3"/>
      <b val="1"/>
      <sz val="11"/>
    </font>
    <font>
      <name val="Noto Sans CJK SC"/>
      <b val="1"/>
      <i val="1"/>
      <color rgb="FF4A6FA5"/>
      <sz val="11"/>
    </font>
    <font>
      <name val="Noto Sans CJK SC"/>
      <color rgb="FF555555"/>
      <sz val="9"/>
    </font>
    <font>
      <name val="맑은 고딕"/>
      <charset val="129"/>
      <family val="3"/>
      <color rgb="FF555555"/>
      <sz val="9"/>
    </font>
    <font>
      <name val="Noto Sans CJK SC"/>
      <b val="1"/>
      <color rgb="FFFFFFFF"/>
      <sz val="11"/>
    </font>
    <font>
      <name val="Noto Sans CJK SC"/>
      <b val="1"/>
      <sz val="10"/>
    </font>
    <font>
      <name val="Noto Sans CJK SC"/>
      <b val="1"/>
      <color rgb="FFFFFFFF"/>
      <sz val="8"/>
    </font>
    <font>
      <name val="Noto Sans CJK SC"/>
      <b val="1"/>
      <sz val="9"/>
    </font>
    <font>
      <name val="맑은 고딕"/>
      <charset val="129"/>
      <family val="3"/>
      <sz val="9"/>
    </font>
    <font>
      <name val="Noto Sans CJK SC"/>
      <b val="1"/>
      <color rgb="FF8B0000"/>
      <sz val="10"/>
    </font>
    <font>
      <name val="돋움"/>
      <charset val="129"/>
      <family val="3"/>
      <sz val="8"/>
    </font>
    <font>
      <name val="Noto Sans CJK SC"/>
      <b val="1"/>
      <color rgb="FF555555"/>
      <sz val="9"/>
    </font>
    <font>
      <name val="Noto Sans CJK SC"/>
      <family val="2"/>
      <b val="1"/>
      <color rgb="FFFFFFFF"/>
      <sz val="16"/>
    </font>
    <font>
      <name val="맑은 고딕"/>
      <family val="3"/>
      <b val="1"/>
      <color rgb="FFFFFFFF"/>
      <sz val="16"/>
    </font>
    <font>
      <name val="Noto Sans CJK SC"/>
      <family val="2"/>
      <sz val="10"/>
    </font>
    <font>
      <name val="맑은 고딕"/>
      <family val="3"/>
      <sz val="10"/>
    </font>
    <font>
      <name val="Noto Sans CJK SC"/>
      <family val="2"/>
      <b val="1"/>
      <color rgb="FFC73E1D"/>
      <sz val="11"/>
    </font>
    <font>
      <name val="맑은 고딕"/>
      <family val="3"/>
      <b val="1"/>
      <color rgb="FFC73E1D"/>
      <sz val="11"/>
    </font>
    <font>
      <name val="Noto Sans CJK SC"/>
      <family val="2"/>
      <b val="1"/>
      <sz val="11"/>
    </font>
    <font>
      <name val="맑은 고딕"/>
      <family val="3"/>
      <b val="1"/>
      <sz val="11"/>
    </font>
    <font>
      <name val="Noto Sans CJK SC"/>
      <family val="2"/>
      <b val="1"/>
      <i val="1"/>
      <color rgb="FF4A6FA5"/>
      <sz val="11"/>
    </font>
    <font>
      <name val="맑은 고딕"/>
      <family val="3"/>
      <b val="1"/>
      <i val="1"/>
      <color rgb="FF4A6FA5"/>
      <sz val="11"/>
    </font>
    <font>
      <name val="Noto Sans CJK SC"/>
      <family val="2"/>
      <color rgb="FF555555"/>
      <sz val="9"/>
    </font>
    <font>
      <name val="맑은 고딕"/>
      <family val="3"/>
      <color rgb="FF555555"/>
      <sz val="9"/>
    </font>
    <font>
      <name val="Noto Sans CJK SC"/>
      <family val="2"/>
      <b val="1"/>
      <color rgb="FFFFFFFF"/>
      <sz val="11"/>
    </font>
    <font>
      <name val="맑은 고딕"/>
      <family val="3"/>
      <b val="1"/>
      <color rgb="FFFFFFFF"/>
      <sz val="11"/>
    </font>
    <font>
      <name val="맑은 고딕"/>
      <family val="3"/>
      <b val="1"/>
      <color rgb="FF555555"/>
      <sz val="9"/>
    </font>
    <font>
      <name val="Noto Sans CJK SC"/>
      <family val="2"/>
      <b val="1"/>
      <color rgb="FF555555"/>
      <sz val="9"/>
    </font>
    <font>
      <name val="Noto Sans CJK SC"/>
      <family val="2"/>
      <b val="1"/>
      <color rgb="FF8B0000"/>
      <sz val="10"/>
    </font>
    <font>
      <name val="맑은 고딕"/>
      <family val="3"/>
      <b val="1"/>
      <color rgb="FF8B0000"/>
      <sz val="10"/>
    </font>
    <font>
      <b val="1"/>
    </font>
  </fonts>
  <fills count="14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FFF4E6"/>
      </patternFill>
    </fill>
    <fill>
      <patternFill patternType="solid">
        <fgColor rgb="FFE8F1F8"/>
      </patternFill>
    </fill>
    <fill>
      <patternFill patternType="solid">
        <fgColor rgb="FFF5F5F5"/>
      </patternFill>
    </fill>
    <fill>
      <patternFill patternType="solid">
        <fgColor rgb="FF4A6FA5"/>
      </patternFill>
    </fill>
    <fill>
      <patternFill patternType="solid">
        <fgColor rgb="FFFFFDE7"/>
      </patternFill>
    </fill>
    <fill>
      <patternFill patternType="solid">
        <fgColor rgb="FFDDDDDD"/>
      </patternFill>
    </fill>
    <fill>
      <patternFill patternType="solid">
        <fgColor rgb="FF8B0000"/>
      </patternFill>
    </fill>
    <fill>
      <patternFill patternType="solid">
        <fgColor rgb="00E7E6E6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9" fontId="7" fillId="4" borderId="1" applyAlignment="1" pivotButton="0" quotePrefix="0" xfId="0">
      <alignment horizontal="center" vertical="center" wrapText="1"/>
    </xf>
    <xf numFmtId="2" fontId="10" fillId="8" borderId="0" applyAlignment="1" pivotButton="0" quotePrefix="0" xfId="0">
      <alignment horizontal="center" vertical="center" wrapText="1"/>
    </xf>
    <xf numFmtId="2" fontId="15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1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left" vertical="top" wrapText="1"/>
    </xf>
    <xf numFmtId="0" fontId="37" fillId="1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7" fillId="10" borderId="1" applyAlignment="1" pivotButton="0" quotePrefix="0" xfId="0">
      <alignment horizontal="center" vertical="center" wrapText="1"/>
    </xf>
    <xf numFmtId="0" fontId="37" fillId="11" borderId="1" applyAlignment="1" pivotButton="0" quotePrefix="0" xfId="0">
      <alignment horizontal="center" vertical="center" wrapText="1"/>
    </xf>
    <xf numFmtId="0" fontId="37" fillId="1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10" fillId="5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37" fillId="13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37" fillId="1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8F1F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4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FA5"/>
      <rgbColor rgb="FF969696"/>
      <rgbColor rgb="FF003366"/>
      <rgbColor rgb="FF339966"/>
      <rgbColor rgb="FF003300"/>
      <rgbColor rgb="FF333300"/>
      <rgbColor rgb="FFC73E1D"/>
      <rgbColor rgb="FF993366"/>
      <rgbColor rgb="FF555555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</author>
  </authors>
  <commentList>
    <comment ref="C5" authorId="0" shapeId="0">
      <text>
        <t>Paste one respondent column from the distribution workbook into each teacher column.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33" t="inlineStr">
        <is>
          <t>Purpose</t>
        </is>
      </c>
      <c r="B1" s="34" t="inlineStr">
        <is>
          <t>Master file for collecting 14 individual card-sorting responses and computing expert consensus.</t>
        </is>
      </c>
    </row>
    <row r="2">
      <c r="A2" s="33" t="inlineStr">
        <is>
          <t>1</t>
        </is>
      </c>
      <c r="B2" s="34" t="inlineStr">
        <is>
          <t>Copy Evaluation!C6:C29 from each individual response workbook.</t>
        </is>
      </c>
    </row>
    <row r="3">
      <c r="A3" s="33" t="inlineStr">
        <is>
          <t>2</t>
        </is>
      </c>
      <c r="B3" s="34" t="inlineStr">
        <is>
          <t>Paste values into one teacher/respondent column in the master Evaluation sheet.</t>
        </is>
      </c>
    </row>
    <row r="4">
      <c r="A4" s="33" t="inlineStr">
        <is>
          <t>3</t>
        </is>
      </c>
      <c r="B4" s="34" t="inlineStr">
        <is>
          <t>Leave blanks as blanks. Valid N in pair data will exclude missing pairwise responses.</t>
        </is>
      </c>
    </row>
    <row r="5">
      <c r="A5" s="33" t="inlineStr">
        <is>
          <t>4</t>
        </is>
      </c>
      <c r="B5" s="34" t="inlineStr">
        <is>
          <t>Do not sort rows or edit department names / row numbers.</t>
        </is>
      </c>
    </row>
    <row r="6">
      <c r="A6" s="33" t="inlineStr">
        <is>
          <t>5</t>
        </is>
      </c>
      <c r="B6" s="34" t="inlineStr">
        <is>
          <t>Later merge Course similarity, Cluster co-membership, and Score difference into pair-data columns I-K.</t>
        </is>
      </c>
    </row>
    <row r="7">
      <c r="A7" s="33" t="inlineStr">
        <is>
          <t>QA</t>
        </is>
      </c>
      <c r="B7" s="34" t="inlineStr">
        <is>
          <t>If a respondent uses only one group or almost all singleton groups, report sensitivity analysis with and without that response.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:F1"/>
    </sheetView>
  </sheetViews>
  <sheetFormatPr baseColWidth="8" defaultColWidth="8.7109375" defaultRowHeight="15"/>
  <cols>
    <col width="6" customWidth="1" min="1" max="1"/>
    <col width="16" customWidth="1" min="2" max="5"/>
    <col width="44.42578125" customWidth="1" min="6" max="6"/>
  </cols>
  <sheetData>
    <row r="1" ht="39.75" customHeight="1">
      <c r="A1" s="26" t="inlineStr">
        <is>
          <t>학과 유사성 평가 — Card Sorting</t>
        </is>
      </c>
    </row>
    <row r="3">
      <c r="A3" s="1" t="inlineStr">
        <is>
          <t>■ 연구 목적</t>
        </is>
      </c>
    </row>
    <row r="4" ht="45" customHeight="1">
      <c r="A4" s="23" t="inlineStr">
        <is>
          <t>고등학생 진로·진학 지도를 위한 학과 군집화 연구의 일환으로, 진학 지도 현장의 경험이 반영된 학과 유사성 체계를 구축하기 위한 평가입니다. 결과는 울산고교 과목로드맵 DB 고도화에 직접 활용될 예정입니다.</t>
        </is>
      </c>
    </row>
    <row r="6" ht="16.5" customHeight="1">
      <c r="A6" s="2" t="inlineStr">
        <is>
          <t>■ 가장 중요한 3가지 규칙</t>
        </is>
      </c>
    </row>
    <row r="7" ht="27.75" customHeight="1">
      <c r="A7" s="3" t="inlineStr">
        <is>
          <t>★</t>
        </is>
      </c>
      <c r="B7" s="27" t="inlineStr">
        <is>
          <t>비슷한 성격의 학과에는 같은 번호를, 다르다고 판단되면 다른 번호를 입력하세요.</t>
        </is>
      </c>
    </row>
    <row r="8" ht="27.75" customHeight="1">
      <c r="A8" s="3" t="inlineStr">
        <is>
          <t>★</t>
        </is>
      </c>
      <c r="B8" s="27" t="inlineStr">
        <is>
          <t>학과 순서는 무작위입니다. 순서 자체에는 의미가 없으니 신경 쓰지 마세요.</t>
        </is>
      </c>
    </row>
    <row r="9" ht="27.75" customHeight="1">
      <c r="A9" s="3" t="inlineStr">
        <is>
          <t>★</t>
        </is>
      </c>
      <c r="B9" s="27" t="inlineStr">
        <is>
          <t>반드시 큰 묶음을 만들 필요는 없습니다. 본인의 직관을 믿고 자유롭게 분류하세요.</t>
        </is>
      </c>
    </row>
    <row r="11">
      <c r="A11" s="1" t="inlineStr">
        <is>
          <t>■ 상세 평가 방법</t>
        </is>
      </c>
    </row>
    <row r="12" ht="24.75" customHeight="1">
      <c r="A12" s="4" t="inlineStr">
        <is>
          <t>1</t>
        </is>
      </c>
      <c r="B12" s="22" t="inlineStr">
        <is>
          <t>제시된 24개 학과를 "비슷한 성격의 학과끼리" 자유롭게 묶어주세요.</t>
        </is>
      </c>
    </row>
    <row r="13" ht="24.75" customHeight="1">
      <c r="A13" s="4" t="inlineStr">
        <is>
          <t>2</t>
        </is>
      </c>
      <c r="B13" s="22" t="inlineStr">
        <is>
          <t>판단 기준: "이 학생에게 A학과를 추천한다면 B학과도 함께 추천할 만한가?"</t>
        </is>
      </c>
    </row>
    <row r="14" ht="24.75" customHeight="1">
      <c r="A14" s="4" t="inlineStr">
        <is>
          <t>3</t>
        </is>
      </c>
      <c r="B14" s="25" t="inlineStr">
        <is>
          <t>[평가] 시트에서 본인 이름이 적힌 열에 그룹 번호를 입력해주세요.</t>
        </is>
      </c>
    </row>
    <row r="15" ht="24.75" customHeight="1">
      <c r="A15" s="4" t="inlineStr">
        <is>
          <t>4</t>
        </is>
      </c>
      <c r="B15" s="22" t="inlineStr">
        <is>
          <t>같은 그룹이면 같은 숫자. 숫자는 자유롭게 사용하세요 (예: 1~5, 또는 1~10 등).</t>
        </is>
      </c>
    </row>
    <row r="16" ht="24.75" customHeight="1">
      <c r="A16" s="4" t="inlineStr">
        <is>
          <t>5</t>
        </is>
      </c>
      <c r="B16" s="22" t="inlineStr">
        <is>
          <t>예: 기계공학과와 조선해양공학과를 같은 그룹으로 묶는다면 둘 다 "1"을 입력.</t>
        </is>
      </c>
    </row>
    <row r="17" ht="24.75" customHeight="1">
      <c r="A17" s="4" t="inlineStr">
        <is>
          <t>6</t>
        </is>
      </c>
      <c r="B17" s="22" t="inlineStr">
        <is>
          <t>판단이 애매했던 학과는 오른쪽 "비고" 칸에 간단히 메모해주시면 큰 도움이 됩니다.</t>
        </is>
      </c>
    </row>
    <row r="18" ht="24.75" customHeight="1">
      <c r="A18" s="4" t="inlineStr">
        <is>
          <t>7</t>
        </is>
      </c>
      <c r="B18" s="22" t="inlineStr">
        <is>
          <t>독립적 판단이 중요하므로 다른 선생님과 상의하지 말아주세요. (평가 후 토론은 환영합니다.)</t>
        </is>
      </c>
    </row>
    <row r="20">
      <c r="A20" s="1" t="inlineStr">
        <is>
          <t>■ 소요 시간</t>
        </is>
      </c>
    </row>
    <row r="21" ht="15" customHeight="1">
      <c r="A21" s="22" t="inlineStr">
        <is>
          <t>약 30~40분 (충분히 시간을 가지고 판단해주세요)</t>
        </is>
      </c>
    </row>
    <row r="23">
      <c r="A23" s="1" t="inlineStr">
        <is>
          <t>■ 윤리적 고려</t>
        </is>
      </c>
    </row>
    <row r="24" ht="34.5" customHeight="1">
      <c r="A24" s="23" t="inlineStr">
        <is>
          <t>본 평가 데이터는 익명 처리되어 학술 연구 목적으로만 사용됩니다. 개인 식별 정보는 수집되지 않으며, 언제든지 참여를 철회하실 수 있습니다.</t>
        </is>
      </c>
    </row>
    <row r="26" ht="17.1" customHeight="1">
      <c r="A26" s="24" t="inlineStr">
        <is>
          <t>소중한 시간을 내주셔서 진심으로 감사드립니다.</t>
        </is>
      </c>
    </row>
    <row r="28">
      <c r="A28" t="inlineStr">
        <is>
          <t>■ 추가 유의사항: 그룹 번호는 각 평가자 내부에서만 의미가 있습니다. 여러 평가자가 한 파일을 공유하면 독립 판단이 훼손될 수 있으므로, 가능하면 평가자별 별도 사본으로 수집하세요.</t>
        </is>
      </c>
    </row>
  </sheetData>
  <mergeCells count="15">
    <mergeCell ref="A24:F24"/>
    <mergeCell ref="B12:F12"/>
    <mergeCell ref="B7:F7"/>
    <mergeCell ref="B9:F9"/>
    <mergeCell ref="B16:F16"/>
    <mergeCell ref="B15:F15"/>
    <mergeCell ref="A1:F1"/>
    <mergeCell ref="A4:F4"/>
    <mergeCell ref="B14:F14"/>
    <mergeCell ref="A26:F26"/>
    <mergeCell ref="B8:F8"/>
    <mergeCell ref="A21:F21"/>
    <mergeCell ref="B17:F17"/>
    <mergeCell ref="B18:F18"/>
    <mergeCell ref="B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"/>
  <sheetViews>
    <sheetView tabSelected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4" sqref="A4:XFD4"/>
    </sheetView>
  </sheetViews>
  <sheetFormatPr baseColWidth="8" defaultColWidth="8.7109375" defaultRowHeight="15"/>
  <cols>
    <col width="13" customWidth="1" min="1" max="1"/>
    <col width="24" customWidth="1" min="2" max="2"/>
    <col width="13" customWidth="1" min="3" max="16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4" customWidth="1" min="17" max="17"/>
    <col width="13" customWidth="1" min="18" max="18"/>
    <col width="13" customWidth="1" min="19" max="19"/>
  </cols>
  <sheetData>
    <row r="1" ht="34.5" customHeight="1">
      <c r="A1" s="26" t="inlineStr">
        <is>
          <t>학과 유사성 평가 — 본인 이름 열에 그룹 번호를, 헷갈린 학과는 비고 칸에 메모</t>
        </is>
      </c>
    </row>
    <row r="2" ht="25.5" customHeight="1">
      <c r="A2" s="28" t="inlineStr">
        <is>
          <t>★ 비슷한 학과에는 같은 번호 | ★ 다른 학과에는 다른 번호 | ★ 학과 순서는 무작위 (순서에 의미 없음)</t>
        </is>
      </c>
    </row>
    <row r="3" ht="25.5" customHeight="1">
      <c r="A3" s="29" t="inlineStr">
        <is>
          <t>예시) 기계공학과와 조선해양공학과를 같은 그룹으로 묶고 싶다면 둘 다 "1" 입력. 의예과를 다른 그룹으로 묶고 싶다면 "2" 입력. 그룹 수는 제한 없으니 3개든 10개든 자유롭게.</t>
        </is>
      </c>
    </row>
    <row r="5" ht="39.75" customHeight="1">
      <c r="A5" s="35" t="inlineStr">
        <is>
          <t>번호</t>
        </is>
      </c>
      <c r="B5" s="35" t="inlineStr">
        <is>
          <t>학과명</t>
        </is>
      </c>
      <c r="C5" s="36" t="inlineStr">
        <is>
          <t>담임1</t>
        </is>
      </c>
      <c r="D5" s="36" t="inlineStr">
        <is>
          <t>담임2</t>
        </is>
      </c>
      <c r="E5" s="36" t="inlineStr">
        <is>
          <t>담임3</t>
        </is>
      </c>
      <c r="F5" s="36" t="inlineStr">
        <is>
          <t>담임4</t>
        </is>
      </c>
      <c r="G5" s="36" t="inlineStr">
        <is>
          <t>담임5</t>
        </is>
      </c>
      <c r="H5" s="36" t="inlineStr">
        <is>
          <t>담임6</t>
        </is>
      </c>
      <c r="I5" s="36" t="inlineStr">
        <is>
          <t>담임7</t>
        </is>
      </c>
      <c r="J5" s="36" t="inlineStr">
        <is>
          <t>담임8</t>
        </is>
      </c>
      <c r="K5" s="36" t="inlineStr">
        <is>
          <t>담임9</t>
        </is>
      </c>
      <c r="L5" s="36" t="inlineStr">
        <is>
          <t>담임10</t>
        </is>
      </c>
      <c r="M5" s="36" t="inlineStr">
        <is>
          <t>담임11</t>
        </is>
      </c>
      <c r="N5" s="36" t="inlineStr">
        <is>
          <t>담임12</t>
        </is>
      </c>
      <c r="O5" s="36" t="inlineStr">
        <is>
          <t>담임13</t>
        </is>
      </c>
      <c r="P5" s="36" t="inlineStr">
        <is>
          <t>담임14</t>
        </is>
      </c>
      <c r="Q5" s="35" t="inlineStr">
        <is>
          <t>비고
(애매했던 학과만 메모)</t>
        </is>
      </c>
      <c r="R5" s="35" t="inlineStr">
        <is>
          <t>응답 수
(자동)</t>
        </is>
      </c>
      <c r="S5" s="37" t="n"/>
    </row>
    <row r="6" ht="21.75" customHeight="1">
      <c r="A6" s="38" t="n">
        <v>1</v>
      </c>
      <c r="B6" s="39" t="inlineStr">
        <is>
          <t>건축학과</t>
        </is>
      </c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1" t="n"/>
      <c r="R6" s="42">
        <f>COUNTA(C6:P6)</f>
        <v/>
      </c>
    </row>
    <row r="7" ht="21.75" customHeight="1">
      <c r="A7" s="38" t="n">
        <v>2</v>
      </c>
      <c r="B7" s="39" t="inlineStr">
        <is>
          <t>국어국문학과</t>
        </is>
      </c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1" t="n"/>
      <c r="R7" s="42">
        <f>COUNTA(C7:P7)</f>
        <v/>
      </c>
    </row>
    <row r="8" ht="21.75" customHeight="1">
      <c r="A8" s="38" t="n">
        <v>3</v>
      </c>
      <c r="B8" s="39" t="inlineStr">
        <is>
          <t>심리학과</t>
        </is>
      </c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1" t="n"/>
      <c r="R8" s="42">
        <f>COUNTA(C8:P8)</f>
        <v/>
      </c>
    </row>
    <row r="9" ht="21.75" customHeight="1">
      <c r="A9" s="38" t="n">
        <v>4</v>
      </c>
      <c r="B9" s="39" t="inlineStr">
        <is>
          <t>기계공학과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1" t="n"/>
      <c r="R9" s="42">
        <f>COUNTA(C9:P9)</f>
        <v/>
      </c>
    </row>
    <row r="10" ht="21.75" customHeight="1">
      <c r="A10" s="38" t="n">
        <v>5</v>
      </c>
      <c r="B10" s="39" t="inlineStr">
        <is>
          <t>화학과</t>
        </is>
      </c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1" t="n"/>
      <c r="R10" s="42">
        <f>COUNTA(C10:P10)</f>
        <v/>
      </c>
    </row>
    <row r="11" ht="21.75" customHeight="1">
      <c r="A11" s="38" t="n">
        <v>6</v>
      </c>
      <c r="B11" s="39" t="inlineStr">
        <is>
          <t>산업공학과</t>
        </is>
      </c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1" t="n"/>
      <c r="R11" s="42">
        <f>COUNTA(C11:P11)</f>
        <v/>
      </c>
    </row>
    <row r="12" ht="21.75" customHeight="1">
      <c r="A12" s="38" t="n">
        <v>7</v>
      </c>
      <c r="B12" s="39" t="inlineStr">
        <is>
          <t>신소재공학과</t>
        </is>
      </c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1" t="n"/>
      <c r="R12" s="42">
        <f>COUNTA(C12:P12)</f>
        <v/>
      </c>
    </row>
    <row r="13" ht="21.75" customHeight="1">
      <c r="A13" s="38" t="n">
        <v>8</v>
      </c>
      <c r="B13" s="39" t="inlineStr">
        <is>
          <t>조선해양공학과</t>
        </is>
      </c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1" t="n"/>
      <c r="R13" s="42">
        <f>COUNTA(C13:P13)</f>
        <v/>
      </c>
    </row>
    <row r="14" ht="21.75" customHeight="1">
      <c r="A14" s="38" t="n">
        <v>9</v>
      </c>
      <c r="B14" s="39" t="inlineStr">
        <is>
          <t>의예과</t>
        </is>
      </c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1" t="n"/>
      <c r="R14" s="42">
        <f>COUNTA(C14:P14)</f>
        <v/>
      </c>
    </row>
    <row r="15" ht="21.75" customHeight="1">
      <c r="A15" s="38" t="n">
        <v>10</v>
      </c>
      <c r="B15" s="39" t="inlineStr">
        <is>
          <t>수학과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  <c r="R15" s="42">
        <f>COUNTA(C15:P15)</f>
        <v/>
      </c>
    </row>
    <row r="16" ht="21.75" customHeight="1">
      <c r="A16" s="38" t="n">
        <v>11</v>
      </c>
      <c r="B16" s="39" t="inlineStr">
        <is>
          <t>경영학과</t>
        </is>
      </c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1" t="n"/>
      <c r="R16" s="42">
        <f>COUNTA(C16:P16)</f>
        <v/>
      </c>
    </row>
    <row r="17" ht="21.75" customHeight="1">
      <c r="A17" s="38" t="n">
        <v>12</v>
      </c>
      <c r="B17" s="39" t="inlineStr">
        <is>
          <t>약학과</t>
        </is>
      </c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1" t="n"/>
      <c r="R17" s="42">
        <f>COUNTA(C17:P17)</f>
        <v/>
      </c>
    </row>
    <row r="18" ht="21.75" customHeight="1">
      <c r="A18" s="38" t="n">
        <v>13</v>
      </c>
      <c r="B18" s="39" t="inlineStr">
        <is>
          <t>사회학과</t>
        </is>
      </c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1" t="n"/>
      <c r="R18" s="42">
        <f>COUNTA(C18:P18)</f>
        <v/>
      </c>
    </row>
    <row r="19" ht="21.75" customHeight="1">
      <c r="A19" s="38" t="n">
        <v>14</v>
      </c>
      <c r="B19" s="39" t="inlineStr">
        <is>
          <t>경제학과</t>
        </is>
      </c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1" t="n"/>
      <c r="R19" s="42">
        <f>COUNTA(C19:P19)</f>
        <v/>
      </c>
    </row>
    <row r="20" ht="21.75" customHeight="1">
      <c r="A20" s="38" t="n">
        <v>15</v>
      </c>
      <c r="B20" s="39" t="inlineStr">
        <is>
          <t>생명과학과</t>
        </is>
      </c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1" t="n"/>
      <c r="R20" s="42">
        <f>COUNTA(C20:P20)</f>
        <v/>
      </c>
    </row>
    <row r="21" ht="21.75" customHeight="1">
      <c r="A21" s="38" t="n">
        <v>16</v>
      </c>
      <c r="B21" s="39" t="inlineStr">
        <is>
          <t>미디어커뮤니케이션학과</t>
        </is>
      </c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1" t="n"/>
      <c r="R21" s="42">
        <f>COUNTA(C21:P21)</f>
        <v/>
      </c>
    </row>
    <row r="22" ht="21.75" customHeight="1">
      <c r="A22" s="38" t="n">
        <v>17</v>
      </c>
      <c r="B22" s="39" t="inlineStr">
        <is>
          <t>화학공학과</t>
        </is>
      </c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1" t="n"/>
      <c r="R22" s="42">
        <f>COUNTA(C22:P22)</f>
        <v/>
      </c>
    </row>
    <row r="23" ht="21.75" customHeight="1">
      <c r="A23" s="38" t="n">
        <v>18</v>
      </c>
      <c r="B23" s="39" t="inlineStr">
        <is>
          <t>디자인학과</t>
        </is>
      </c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1" t="n"/>
      <c r="R23" s="42">
        <f>COUNTA(C23:P23)</f>
        <v/>
      </c>
    </row>
    <row r="24" ht="21.75" customHeight="1">
      <c r="A24" s="38" t="n">
        <v>19</v>
      </c>
      <c r="B24" s="39" t="inlineStr">
        <is>
          <t>식품영양학과</t>
        </is>
      </c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1" t="n"/>
      <c r="R24" s="42">
        <f>COUNTA(C24:P24)</f>
        <v/>
      </c>
    </row>
    <row r="25" ht="21.75" customHeight="1">
      <c r="A25" s="38" t="n">
        <v>20</v>
      </c>
      <c r="B25" s="39" t="inlineStr">
        <is>
          <t>간호학과</t>
        </is>
      </c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1" t="n"/>
      <c r="R25" s="42">
        <f>COUNTA(C25:P25)</f>
        <v/>
      </c>
    </row>
    <row r="26" ht="21.75" customHeight="1">
      <c r="A26" s="38" t="n">
        <v>21</v>
      </c>
      <c r="B26" s="39" t="inlineStr">
        <is>
          <t>전기전자공학과</t>
        </is>
      </c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1" t="n"/>
      <c r="R26" s="42">
        <f>COUNTA(C26:P26)</f>
        <v/>
      </c>
    </row>
    <row r="27" ht="21.75" customHeight="1">
      <c r="A27" s="38" t="n">
        <v>22</v>
      </c>
      <c r="B27" s="39" t="inlineStr">
        <is>
          <t>사학과</t>
        </is>
      </c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1" t="n"/>
      <c r="R27" s="42">
        <f>COUNTA(C27:P27)</f>
        <v/>
      </c>
    </row>
    <row r="28" ht="21.75" customHeight="1">
      <c r="A28" s="38" t="n">
        <v>23</v>
      </c>
      <c r="B28" s="39" t="inlineStr">
        <is>
          <t>응용통계학과</t>
        </is>
      </c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1" t="n"/>
      <c r="R28" s="42">
        <f>COUNTA(C28:P28)</f>
        <v/>
      </c>
    </row>
    <row r="29" ht="21.75" customHeight="1">
      <c r="A29" s="38" t="n">
        <v>24</v>
      </c>
      <c r="B29" s="39" t="inlineStr">
        <is>
          <t>컴퓨터공학과</t>
        </is>
      </c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1" t="n"/>
      <c r="R29" s="42">
        <f>COUNTA(C29:P29)</f>
        <v/>
      </c>
    </row>
    <row r="31" ht="24.75" customHeight="1">
      <c r="B31" s="11" t="inlineStr">
        <is>
          <t>사용한 그룹 수 (자동)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</row>
    <row r="32" ht="24.75" customHeight="1">
      <c r="B32" s="11" t="inlineStr">
        <is>
          <t>완료율 (자동)</t>
        </is>
      </c>
      <c r="C32" s="17">
        <f>COUNTA(C6:C29)/24</f>
        <v/>
      </c>
      <c r="D32" s="17">
        <f>COUNTA(D6:D29)/24</f>
        <v/>
      </c>
      <c r="E32" s="17">
        <f>COUNTA(E6:E29)/24</f>
        <v/>
      </c>
      <c r="F32" s="17">
        <f>COUNTA(F6:F29)/24</f>
        <v/>
      </c>
      <c r="G32" s="17">
        <f>COUNTA(G6:G29)/24</f>
        <v/>
      </c>
      <c r="H32" s="17">
        <f>COUNTA(H6:H29)/24</f>
        <v/>
      </c>
      <c r="I32" s="17">
        <f>COUNTA(I6:I29)/24</f>
        <v/>
      </c>
      <c r="J32" s="17">
        <f>COUNTA(J6:J29)/24</f>
        <v/>
      </c>
      <c r="K32" s="17">
        <f>COUNTA(K6:K29)/24</f>
        <v/>
      </c>
      <c r="L32" s="17">
        <f>COUNTA(L6:L29)/24</f>
        <v/>
      </c>
      <c r="M32" s="17">
        <f>COUNTA(M6:M29)/24</f>
        <v/>
      </c>
      <c r="N32" s="17">
        <f>COUNTA(N6:N29)/24</f>
        <v/>
      </c>
      <c r="O32" s="17">
        <f>COUNTA(O6:O29)/24</f>
        <v/>
      </c>
      <c r="P32" s="17">
        <f>COUNTA(P6:P29)/24</f>
        <v/>
      </c>
    </row>
  </sheetData>
  <autoFilter ref="A5:R29"/>
  <mergeCells count="3">
    <mergeCell ref="A3:S3"/>
    <mergeCell ref="A2:S2"/>
    <mergeCell ref="A1:S1"/>
  </mergeCells>
  <dataValidations count="2">
    <dataValidation sqref="C6:P29" showDropDown="1" showInputMessage="0" showErrorMessage="1" allowBlank="1" errorTitle="그룹 번호 확인" error="1~24 사이의 정수 그룹 번호를 입력하세요. 같은 그룹은 같은 번호를 사용합니다." type="whole" errorStyle="warning">
      <formula1>1</formula1>
      <formula2>24</formula2>
    </dataValidation>
    <dataValidation sqref="C6:P29" showDropDown="0" showInputMessage="0" showErrorMessage="0" allowBlank="1" errorTitle="Check input" error="Please enter an integer from 1 to 24." promptTitle="Master input" prompt="Within each respondent column, the same number means the same group." type="whole" operator="between">
      <formula1>1</formula1>
      <formula2>24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:Y1"/>
    </sheetView>
  </sheetViews>
  <sheetFormatPr baseColWidth="8" defaultColWidth="8.7109375" defaultRowHeight="15"/>
  <cols>
    <col width="22" customWidth="1" min="1" max="1"/>
    <col width="10" customWidth="1" min="2" max="25"/>
  </cols>
  <sheetData>
    <row r="1" ht="34.5" customHeight="1">
      <c r="A1" s="26" t="inlineStr">
        <is>
          <t>집계 분석 — 학과 쌍별 공분류 빈도 (담임들이 같은 그룹에 넣은 비율)</t>
        </is>
      </c>
    </row>
    <row r="2" ht="34.5" customHeight="1">
      <c r="A2" s="30" t="inlineStr">
        <is>
          <t>이 시트는 평가가 완료되면 자동으로 계산됩니다. 각 셀은 "두 학과를 같은 그룹으로 분류한 담임 수 / 전체 응답 담임 수"를 나타냅니다. 1.0에 가까울수록 강한 합의, 0에 가까울수록 상이한 판단.</t>
        </is>
      </c>
    </row>
    <row r="4" ht="79.5" customHeight="1">
      <c r="A4" s="5" t="inlineStr">
        <is>
          <t>학과</t>
        </is>
      </c>
      <c r="B4" s="13" t="inlineStr">
        <is>
          <t>건축학과</t>
        </is>
      </c>
      <c r="C4" s="13" t="inlineStr">
        <is>
          <t>국어국문학과</t>
        </is>
      </c>
      <c r="D4" s="13" t="inlineStr">
        <is>
          <t>심리학과</t>
        </is>
      </c>
      <c r="E4" s="13" t="inlineStr">
        <is>
          <t>기계공학과</t>
        </is>
      </c>
      <c r="F4" s="13" t="inlineStr">
        <is>
          <t>화학과</t>
        </is>
      </c>
      <c r="G4" s="13" t="inlineStr">
        <is>
          <t>산업공학과</t>
        </is>
      </c>
      <c r="H4" s="13" t="inlineStr">
        <is>
          <t>신소재공학과</t>
        </is>
      </c>
      <c r="I4" s="13" t="inlineStr">
        <is>
          <t>조선해양공학과</t>
        </is>
      </c>
      <c r="J4" s="13" t="inlineStr">
        <is>
          <t>의예과</t>
        </is>
      </c>
      <c r="K4" s="13" t="inlineStr">
        <is>
          <t>수학과</t>
        </is>
      </c>
      <c r="L4" s="13" t="inlineStr">
        <is>
          <t>경영학과</t>
        </is>
      </c>
      <c r="M4" s="13" t="inlineStr">
        <is>
          <t>약학과</t>
        </is>
      </c>
      <c r="N4" s="13" t="inlineStr">
        <is>
          <t>사회학과</t>
        </is>
      </c>
      <c r="O4" s="13" t="inlineStr">
        <is>
          <t>경제학과</t>
        </is>
      </c>
      <c r="P4" s="13" t="inlineStr">
        <is>
          <t>생명과학과</t>
        </is>
      </c>
      <c r="Q4" s="13" t="inlineStr">
        <is>
          <t>미디어커뮤니케이션학과</t>
        </is>
      </c>
      <c r="R4" s="13" t="inlineStr">
        <is>
          <t>화학공학과</t>
        </is>
      </c>
      <c r="S4" s="13" t="inlineStr">
        <is>
          <t>디자인학과</t>
        </is>
      </c>
      <c r="T4" s="13" t="inlineStr">
        <is>
          <t>식품영양학과</t>
        </is>
      </c>
      <c r="U4" s="13" t="inlineStr">
        <is>
          <t>간호학과</t>
        </is>
      </c>
      <c r="V4" s="13" t="inlineStr">
        <is>
          <t>전기전자공학과</t>
        </is>
      </c>
      <c r="W4" s="13" t="inlineStr">
        <is>
          <t>사학과</t>
        </is>
      </c>
      <c r="X4" s="13" t="inlineStr">
        <is>
          <t>응용통계학과</t>
        </is>
      </c>
      <c r="Y4" s="13" t="inlineStr">
        <is>
          <t>컴퓨터공학과</t>
        </is>
      </c>
    </row>
    <row r="5" ht="18" customHeight="1">
      <c r="A5" s="14" t="inlineStr">
        <is>
          <t>건축학과</t>
        </is>
      </c>
      <c r="B5" s="18">
        <f>"-"</f>
        <v/>
      </c>
      <c r="C5" s="19">
        <f>IFERROR(SUMPRODUCT((평가!C6:P6&lt;&gt;"")*(평가!C7:P7&lt;&gt;"")*(평가!C6:P6=평가!C7:P7))/SUMPRODUCT((평가!C6:P6&lt;&gt;"")*(평가!C7:P7&lt;&gt;"")),"")</f>
        <v/>
      </c>
      <c r="D5" s="19">
        <f>IFERROR(SUMPRODUCT((평가!C6:P6&lt;&gt;"")*(평가!C8:P8&lt;&gt;"")*(평가!C6:P6=평가!C8:P8))/SUMPRODUCT((평가!C6:P6&lt;&gt;"")*(평가!C8:P8&lt;&gt;"")),"")</f>
        <v/>
      </c>
      <c r="E5" s="19">
        <f>IFERROR(SUMPRODUCT((평가!C6:P6&lt;&gt;"")*(평가!C9:P9&lt;&gt;"")*(평가!C6:P6=평가!C9:P9))/SUMPRODUCT((평가!C6:P6&lt;&gt;"")*(평가!C9:P9&lt;&gt;"")),"")</f>
        <v/>
      </c>
      <c r="F5" s="19">
        <f>IFERROR(SUMPRODUCT((평가!C6:P6&lt;&gt;"")*(평가!C10:P10&lt;&gt;"")*(평가!C6:P6=평가!C10:P10))/SUMPRODUCT((평가!C6:P6&lt;&gt;"")*(평가!C10:P10&lt;&gt;"")),"")</f>
        <v/>
      </c>
      <c r="G5" s="19">
        <f>IFERROR(SUMPRODUCT((평가!C6:P6&lt;&gt;"")*(평가!C11:P11&lt;&gt;"")*(평가!C6:P6=평가!C11:P11))/SUMPRODUCT((평가!C6:P6&lt;&gt;"")*(평가!C11:P11&lt;&gt;"")),"")</f>
        <v/>
      </c>
      <c r="H5" s="19">
        <f>IFERROR(SUMPRODUCT((평가!C6:P6&lt;&gt;"")*(평가!C12:P12&lt;&gt;"")*(평가!C6:P6=평가!C12:P12))/SUMPRODUCT((평가!C6:P6&lt;&gt;"")*(평가!C12:P12&lt;&gt;"")),"")</f>
        <v/>
      </c>
      <c r="I5" s="19">
        <f>IFERROR(SUMPRODUCT((평가!C6:P6&lt;&gt;"")*(평가!C13:P13&lt;&gt;"")*(평가!C6:P6=평가!C13:P13))/SUMPRODUCT((평가!C6:P6&lt;&gt;"")*(평가!C13:P13&lt;&gt;"")),"")</f>
        <v/>
      </c>
      <c r="J5" s="19">
        <f>IFERROR(SUMPRODUCT((평가!C6:P6&lt;&gt;"")*(평가!C14:P14&lt;&gt;"")*(평가!C6:P6=평가!C14:P14))/SUMPRODUCT((평가!C6:P6&lt;&gt;"")*(평가!C14:P14&lt;&gt;"")),"")</f>
        <v/>
      </c>
      <c r="K5" s="19">
        <f>IFERROR(SUMPRODUCT((평가!C6:P6&lt;&gt;"")*(평가!C15:P15&lt;&gt;"")*(평가!C6:P6=평가!C15:P15))/SUMPRODUCT((평가!C6:P6&lt;&gt;"")*(평가!C15:P15&lt;&gt;"")),"")</f>
        <v/>
      </c>
      <c r="L5" s="19">
        <f>IFERROR(SUMPRODUCT((평가!C6:P6&lt;&gt;"")*(평가!C16:P16&lt;&gt;"")*(평가!C6:P6=평가!C16:P16))/SUMPRODUCT((평가!C6:P6&lt;&gt;"")*(평가!C16:P16&lt;&gt;"")),"")</f>
        <v/>
      </c>
      <c r="M5" s="19">
        <f>IFERROR(SUMPRODUCT((평가!C6:P6&lt;&gt;"")*(평가!C17:P17&lt;&gt;"")*(평가!C6:P6=평가!C17:P17))/SUMPRODUCT((평가!C6:P6&lt;&gt;"")*(평가!C17:P17&lt;&gt;"")),"")</f>
        <v/>
      </c>
      <c r="N5" s="19">
        <f>IFERROR(SUMPRODUCT((평가!C6:P6&lt;&gt;"")*(평가!C18:P18&lt;&gt;"")*(평가!C6:P6=평가!C18:P18))/SUMPRODUCT((평가!C6:P6&lt;&gt;"")*(평가!C18:P18&lt;&gt;"")),"")</f>
        <v/>
      </c>
      <c r="O5" s="19">
        <f>IFERROR(SUMPRODUCT((평가!C6:P6&lt;&gt;"")*(평가!C19:P19&lt;&gt;"")*(평가!C6:P6=평가!C19:P19))/SUMPRODUCT((평가!C6:P6&lt;&gt;"")*(평가!C19:P19&lt;&gt;"")),"")</f>
        <v/>
      </c>
      <c r="P5" s="19">
        <f>IFERROR(SUMPRODUCT((평가!C6:P6&lt;&gt;"")*(평가!C20:P20&lt;&gt;"")*(평가!C6:P6=평가!C20:P20))/SUMPRODUCT((평가!C6:P6&lt;&gt;"")*(평가!C20:P20&lt;&gt;"")),"")</f>
        <v/>
      </c>
      <c r="Q5" s="19">
        <f>IFERROR(SUMPRODUCT((평가!C6:P6&lt;&gt;"")*(평가!C21:P21&lt;&gt;"")*(평가!C6:P6=평가!C21:P21))/SUMPRODUCT((평가!C6:P6&lt;&gt;"")*(평가!C21:P21&lt;&gt;"")),"")</f>
        <v/>
      </c>
      <c r="R5" s="19">
        <f>IFERROR(SUMPRODUCT((평가!C6:P6&lt;&gt;"")*(평가!C22:P22&lt;&gt;"")*(평가!C6:P6=평가!C22:P22))/SUMPRODUCT((평가!C6:P6&lt;&gt;"")*(평가!C22:P22&lt;&gt;"")),"")</f>
        <v/>
      </c>
      <c r="S5" s="19">
        <f>IFERROR(SUMPRODUCT((평가!C6:P6&lt;&gt;"")*(평가!C23:P23&lt;&gt;"")*(평가!C6:P6=평가!C23:P23))/SUMPRODUCT((평가!C6:P6&lt;&gt;"")*(평가!C23:P23&lt;&gt;"")),"")</f>
        <v/>
      </c>
      <c r="T5" s="19">
        <f>IFERROR(SUMPRODUCT((평가!C6:P6&lt;&gt;"")*(평가!C24:P24&lt;&gt;"")*(평가!C6:P6=평가!C24:P24))/SUMPRODUCT((평가!C6:P6&lt;&gt;"")*(평가!C24:P24&lt;&gt;"")),"")</f>
        <v/>
      </c>
      <c r="U5" s="19">
        <f>IFERROR(SUMPRODUCT((평가!C6:P6&lt;&gt;"")*(평가!C25:P25&lt;&gt;"")*(평가!C6:P6=평가!C25:P25))/SUMPRODUCT((평가!C6:P6&lt;&gt;"")*(평가!C25:P25&lt;&gt;"")),"")</f>
        <v/>
      </c>
      <c r="V5" s="19">
        <f>IFERROR(SUMPRODUCT((평가!C6:P6&lt;&gt;"")*(평가!C26:P26&lt;&gt;"")*(평가!C6:P6=평가!C26:P26))/SUMPRODUCT((평가!C6:P6&lt;&gt;"")*(평가!C26:P26&lt;&gt;"")),"")</f>
        <v/>
      </c>
      <c r="W5" s="19">
        <f>IFERROR(SUMPRODUCT((평가!C6:P6&lt;&gt;"")*(평가!C27:P27&lt;&gt;"")*(평가!C6:P6=평가!C27:P27))/SUMPRODUCT((평가!C6:P6&lt;&gt;"")*(평가!C27:P27&lt;&gt;"")),"")</f>
        <v/>
      </c>
      <c r="X5" s="19">
        <f>IFERROR(SUMPRODUCT((평가!C6:P6&lt;&gt;"")*(평가!C28:P28&lt;&gt;"")*(평가!C6:P6=평가!C28:P28))/SUMPRODUCT((평가!C6:P6&lt;&gt;"")*(평가!C28:P28&lt;&gt;"")),"")</f>
        <v/>
      </c>
      <c r="Y5" s="19">
        <f>IFERROR(SUMPRODUCT((평가!C6:P6&lt;&gt;"")*(평가!C29:P29&lt;&gt;"")*(평가!C6:P6=평가!C29:P29))/SUMPRODUCT((평가!C6:P6&lt;&gt;"")*(평가!C29:P29&lt;&gt;"")),"")</f>
        <v/>
      </c>
    </row>
    <row r="6" ht="18" customHeight="1">
      <c r="A6" s="14" t="inlineStr">
        <is>
          <t>국어국문학과</t>
        </is>
      </c>
      <c r="B6" s="19">
        <f>IFERROR(SUMPRODUCT((평가!C7:P7&lt;&gt;"")*(평가!C6:P6&lt;&gt;"")*(평가!C7:P7=평가!C6:P6))/SUMPRODUCT((평가!C7:P7&lt;&gt;"")*(평가!C6:P6&lt;&gt;"")),"")</f>
        <v/>
      </c>
      <c r="C6" s="18">
        <f>"-"</f>
        <v/>
      </c>
      <c r="D6" s="19">
        <f>IFERROR(SUMPRODUCT((평가!C7:P7&lt;&gt;"")*(평가!C8:P8&lt;&gt;"")*(평가!C7:P7=평가!C8:P8))/SUMPRODUCT((평가!C7:P7&lt;&gt;"")*(평가!C8:P8&lt;&gt;"")),"")</f>
        <v/>
      </c>
      <c r="E6" s="19">
        <f>IFERROR(SUMPRODUCT((평가!C7:P7&lt;&gt;"")*(평가!C9:P9&lt;&gt;"")*(평가!C7:P7=평가!C9:P9))/SUMPRODUCT((평가!C7:P7&lt;&gt;"")*(평가!C9:P9&lt;&gt;"")),"")</f>
        <v/>
      </c>
      <c r="F6" s="19">
        <f>IFERROR(SUMPRODUCT((평가!C7:P7&lt;&gt;"")*(평가!C10:P10&lt;&gt;"")*(평가!C7:P7=평가!C10:P10))/SUMPRODUCT((평가!C7:P7&lt;&gt;"")*(평가!C10:P10&lt;&gt;"")),"")</f>
        <v/>
      </c>
      <c r="G6" s="19">
        <f>IFERROR(SUMPRODUCT((평가!C7:P7&lt;&gt;"")*(평가!C11:P11&lt;&gt;"")*(평가!C7:P7=평가!C11:P11))/SUMPRODUCT((평가!C7:P7&lt;&gt;"")*(평가!C11:P11&lt;&gt;"")),"")</f>
        <v/>
      </c>
      <c r="H6" s="19">
        <f>IFERROR(SUMPRODUCT((평가!C7:P7&lt;&gt;"")*(평가!C12:P12&lt;&gt;"")*(평가!C7:P7=평가!C12:P12))/SUMPRODUCT((평가!C7:P7&lt;&gt;"")*(평가!C12:P12&lt;&gt;"")),"")</f>
        <v/>
      </c>
      <c r="I6" s="19">
        <f>IFERROR(SUMPRODUCT((평가!C7:P7&lt;&gt;"")*(평가!C13:P13&lt;&gt;"")*(평가!C7:P7=평가!C13:P13))/SUMPRODUCT((평가!C7:P7&lt;&gt;"")*(평가!C13:P13&lt;&gt;"")),"")</f>
        <v/>
      </c>
      <c r="J6" s="19">
        <f>IFERROR(SUMPRODUCT((평가!C7:P7&lt;&gt;"")*(평가!C14:P14&lt;&gt;"")*(평가!C7:P7=평가!C14:P14))/SUMPRODUCT((평가!C7:P7&lt;&gt;"")*(평가!C14:P14&lt;&gt;"")),"")</f>
        <v/>
      </c>
      <c r="K6" s="19">
        <f>IFERROR(SUMPRODUCT((평가!C7:P7&lt;&gt;"")*(평가!C15:P15&lt;&gt;"")*(평가!C7:P7=평가!C15:P15))/SUMPRODUCT((평가!C7:P7&lt;&gt;"")*(평가!C15:P15&lt;&gt;"")),"")</f>
        <v/>
      </c>
      <c r="L6" s="19">
        <f>IFERROR(SUMPRODUCT((평가!C7:P7&lt;&gt;"")*(평가!C16:P16&lt;&gt;"")*(평가!C7:P7=평가!C16:P16))/SUMPRODUCT((평가!C7:P7&lt;&gt;"")*(평가!C16:P16&lt;&gt;"")),"")</f>
        <v/>
      </c>
      <c r="M6" s="19">
        <f>IFERROR(SUMPRODUCT((평가!C7:P7&lt;&gt;"")*(평가!C17:P17&lt;&gt;"")*(평가!C7:P7=평가!C17:P17))/SUMPRODUCT((평가!C7:P7&lt;&gt;"")*(평가!C17:P17&lt;&gt;"")),"")</f>
        <v/>
      </c>
      <c r="N6" s="19">
        <f>IFERROR(SUMPRODUCT((평가!C7:P7&lt;&gt;"")*(평가!C18:P18&lt;&gt;"")*(평가!C7:P7=평가!C18:P18))/SUMPRODUCT((평가!C7:P7&lt;&gt;"")*(평가!C18:P18&lt;&gt;"")),"")</f>
        <v/>
      </c>
      <c r="O6" s="19">
        <f>IFERROR(SUMPRODUCT((평가!C7:P7&lt;&gt;"")*(평가!C19:P19&lt;&gt;"")*(평가!C7:P7=평가!C19:P19))/SUMPRODUCT((평가!C7:P7&lt;&gt;"")*(평가!C19:P19&lt;&gt;"")),"")</f>
        <v/>
      </c>
      <c r="P6" s="19">
        <f>IFERROR(SUMPRODUCT((평가!C7:P7&lt;&gt;"")*(평가!C20:P20&lt;&gt;"")*(평가!C7:P7=평가!C20:P20))/SUMPRODUCT((평가!C7:P7&lt;&gt;"")*(평가!C20:P20&lt;&gt;"")),"")</f>
        <v/>
      </c>
      <c r="Q6" s="19">
        <f>IFERROR(SUMPRODUCT((평가!C7:P7&lt;&gt;"")*(평가!C21:P21&lt;&gt;"")*(평가!C7:P7=평가!C21:P21))/SUMPRODUCT((평가!C7:P7&lt;&gt;"")*(평가!C21:P21&lt;&gt;"")),"")</f>
        <v/>
      </c>
      <c r="R6" s="19">
        <f>IFERROR(SUMPRODUCT((평가!C7:P7&lt;&gt;"")*(평가!C22:P22&lt;&gt;"")*(평가!C7:P7=평가!C22:P22))/SUMPRODUCT((평가!C7:P7&lt;&gt;"")*(평가!C22:P22&lt;&gt;"")),"")</f>
        <v/>
      </c>
      <c r="S6" s="19">
        <f>IFERROR(SUMPRODUCT((평가!C7:P7&lt;&gt;"")*(평가!C23:P23&lt;&gt;"")*(평가!C7:P7=평가!C23:P23))/SUMPRODUCT((평가!C7:P7&lt;&gt;"")*(평가!C23:P23&lt;&gt;"")),"")</f>
        <v/>
      </c>
      <c r="T6" s="19">
        <f>IFERROR(SUMPRODUCT((평가!C7:P7&lt;&gt;"")*(평가!C24:P24&lt;&gt;"")*(평가!C7:P7=평가!C24:P24))/SUMPRODUCT((평가!C7:P7&lt;&gt;"")*(평가!C24:P24&lt;&gt;"")),"")</f>
        <v/>
      </c>
      <c r="U6" s="19">
        <f>IFERROR(SUMPRODUCT((평가!C7:P7&lt;&gt;"")*(평가!C25:P25&lt;&gt;"")*(평가!C7:P7=평가!C25:P25))/SUMPRODUCT((평가!C7:P7&lt;&gt;"")*(평가!C25:P25&lt;&gt;"")),"")</f>
        <v/>
      </c>
      <c r="V6" s="19">
        <f>IFERROR(SUMPRODUCT((평가!C7:P7&lt;&gt;"")*(평가!C26:P26&lt;&gt;"")*(평가!C7:P7=평가!C26:P26))/SUMPRODUCT((평가!C7:P7&lt;&gt;"")*(평가!C26:P26&lt;&gt;"")),"")</f>
        <v/>
      </c>
      <c r="W6" s="19">
        <f>IFERROR(SUMPRODUCT((평가!C7:P7&lt;&gt;"")*(평가!C27:P27&lt;&gt;"")*(평가!C7:P7=평가!C27:P27))/SUMPRODUCT((평가!C7:P7&lt;&gt;"")*(평가!C27:P27&lt;&gt;"")),"")</f>
        <v/>
      </c>
      <c r="X6" s="19">
        <f>IFERROR(SUMPRODUCT((평가!C7:P7&lt;&gt;"")*(평가!C28:P28&lt;&gt;"")*(평가!C7:P7=평가!C28:P28))/SUMPRODUCT((평가!C7:P7&lt;&gt;"")*(평가!C28:P28&lt;&gt;"")),"")</f>
        <v/>
      </c>
      <c r="Y6" s="19">
        <f>IFERROR(SUMPRODUCT((평가!C7:P7&lt;&gt;"")*(평가!C29:P29&lt;&gt;"")*(평가!C7:P7=평가!C29:P29))/SUMPRODUCT((평가!C7:P7&lt;&gt;"")*(평가!C29:P29&lt;&gt;"")),"")</f>
        <v/>
      </c>
    </row>
    <row r="7" ht="18" customHeight="1">
      <c r="A7" s="14" t="inlineStr">
        <is>
          <t>심리학과</t>
        </is>
      </c>
      <c r="B7" s="19">
        <f>IFERROR(SUMPRODUCT((평가!C8:P8&lt;&gt;"")*(평가!C6:P6&lt;&gt;"")*(평가!C8:P8=평가!C6:P6))/SUMPRODUCT((평가!C8:P8&lt;&gt;"")*(평가!C6:P6&lt;&gt;"")),"")</f>
        <v/>
      </c>
      <c r="C7" s="19">
        <f>IFERROR(SUMPRODUCT((평가!C8:P8&lt;&gt;"")*(평가!C7:P7&lt;&gt;"")*(평가!C8:P8=평가!C7:P7))/SUMPRODUCT((평가!C8:P8&lt;&gt;"")*(평가!C7:P7&lt;&gt;"")),"")</f>
        <v/>
      </c>
      <c r="D7" s="18">
        <f>"-"</f>
        <v/>
      </c>
      <c r="E7" s="19">
        <f>IFERROR(SUMPRODUCT((평가!C8:P8&lt;&gt;"")*(평가!C9:P9&lt;&gt;"")*(평가!C8:P8=평가!C9:P9))/SUMPRODUCT((평가!C8:P8&lt;&gt;"")*(평가!C9:P9&lt;&gt;"")),"")</f>
        <v/>
      </c>
      <c r="F7" s="19">
        <f>IFERROR(SUMPRODUCT((평가!C8:P8&lt;&gt;"")*(평가!C10:P10&lt;&gt;"")*(평가!C8:P8=평가!C10:P10))/SUMPRODUCT((평가!C8:P8&lt;&gt;"")*(평가!C10:P10&lt;&gt;"")),"")</f>
        <v/>
      </c>
      <c r="G7" s="19">
        <f>IFERROR(SUMPRODUCT((평가!C8:P8&lt;&gt;"")*(평가!C11:P11&lt;&gt;"")*(평가!C8:P8=평가!C11:P11))/SUMPRODUCT((평가!C8:P8&lt;&gt;"")*(평가!C11:P11&lt;&gt;"")),"")</f>
        <v/>
      </c>
      <c r="H7" s="19">
        <f>IFERROR(SUMPRODUCT((평가!C8:P8&lt;&gt;"")*(평가!C12:P12&lt;&gt;"")*(평가!C8:P8=평가!C12:P12))/SUMPRODUCT((평가!C8:P8&lt;&gt;"")*(평가!C12:P12&lt;&gt;"")),"")</f>
        <v/>
      </c>
      <c r="I7" s="19">
        <f>IFERROR(SUMPRODUCT((평가!C8:P8&lt;&gt;"")*(평가!C13:P13&lt;&gt;"")*(평가!C8:P8=평가!C13:P13))/SUMPRODUCT((평가!C8:P8&lt;&gt;"")*(평가!C13:P13&lt;&gt;"")),"")</f>
        <v/>
      </c>
      <c r="J7" s="19">
        <f>IFERROR(SUMPRODUCT((평가!C8:P8&lt;&gt;"")*(평가!C14:P14&lt;&gt;"")*(평가!C8:P8=평가!C14:P14))/SUMPRODUCT((평가!C8:P8&lt;&gt;"")*(평가!C14:P14&lt;&gt;"")),"")</f>
        <v/>
      </c>
      <c r="K7" s="19">
        <f>IFERROR(SUMPRODUCT((평가!C8:P8&lt;&gt;"")*(평가!C15:P15&lt;&gt;"")*(평가!C8:P8=평가!C15:P15))/SUMPRODUCT((평가!C8:P8&lt;&gt;"")*(평가!C15:P15&lt;&gt;"")),"")</f>
        <v/>
      </c>
      <c r="L7" s="19">
        <f>IFERROR(SUMPRODUCT((평가!C8:P8&lt;&gt;"")*(평가!C16:P16&lt;&gt;"")*(평가!C8:P8=평가!C16:P16))/SUMPRODUCT((평가!C8:P8&lt;&gt;"")*(평가!C16:P16&lt;&gt;"")),"")</f>
        <v/>
      </c>
      <c r="M7" s="19">
        <f>IFERROR(SUMPRODUCT((평가!C8:P8&lt;&gt;"")*(평가!C17:P17&lt;&gt;"")*(평가!C8:P8=평가!C17:P17))/SUMPRODUCT((평가!C8:P8&lt;&gt;"")*(평가!C17:P17&lt;&gt;"")),"")</f>
        <v/>
      </c>
      <c r="N7" s="19">
        <f>IFERROR(SUMPRODUCT((평가!C8:P8&lt;&gt;"")*(평가!C18:P18&lt;&gt;"")*(평가!C8:P8=평가!C18:P18))/SUMPRODUCT((평가!C8:P8&lt;&gt;"")*(평가!C18:P18&lt;&gt;"")),"")</f>
        <v/>
      </c>
      <c r="O7" s="19">
        <f>IFERROR(SUMPRODUCT((평가!C8:P8&lt;&gt;"")*(평가!C19:P19&lt;&gt;"")*(평가!C8:P8=평가!C19:P19))/SUMPRODUCT((평가!C8:P8&lt;&gt;"")*(평가!C19:P19&lt;&gt;"")),"")</f>
        <v/>
      </c>
      <c r="P7" s="19">
        <f>IFERROR(SUMPRODUCT((평가!C8:P8&lt;&gt;"")*(평가!C20:P20&lt;&gt;"")*(평가!C8:P8=평가!C20:P20))/SUMPRODUCT((평가!C8:P8&lt;&gt;"")*(평가!C20:P20&lt;&gt;"")),"")</f>
        <v/>
      </c>
      <c r="Q7" s="19">
        <f>IFERROR(SUMPRODUCT((평가!C8:P8&lt;&gt;"")*(평가!C21:P21&lt;&gt;"")*(평가!C8:P8=평가!C21:P21))/SUMPRODUCT((평가!C8:P8&lt;&gt;"")*(평가!C21:P21&lt;&gt;"")),"")</f>
        <v/>
      </c>
      <c r="R7" s="19">
        <f>IFERROR(SUMPRODUCT((평가!C8:P8&lt;&gt;"")*(평가!C22:P22&lt;&gt;"")*(평가!C8:P8=평가!C22:P22))/SUMPRODUCT((평가!C8:P8&lt;&gt;"")*(평가!C22:P22&lt;&gt;"")),"")</f>
        <v/>
      </c>
      <c r="S7" s="19">
        <f>IFERROR(SUMPRODUCT((평가!C8:P8&lt;&gt;"")*(평가!C23:P23&lt;&gt;"")*(평가!C8:P8=평가!C23:P23))/SUMPRODUCT((평가!C8:P8&lt;&gt;"")*(평가!C23:P23&lt;&gt;"")),"")</f>
        <v/>
      </c>
      <c r="T7" s="19">
        <f>IFERROR(SUMPRODUCT((평가!C8:P8&lt;&gt;"")*(평가!C24:P24&lt;&gt;"")*(평가!C8:P8=평가!C24:P24))/SUMPRODUCT((평가!C8:P8&lt;&gt;"")*(평가!C24:P24&lt;&gt;"")),"")</f>
        <v/>
      </c>
      <c r="U7" s="19">
        <f>IFERROR(SUMPRODUCT((평가!C8:P8&lt;&gt;"")*(평가!C25:P25&lt;&gt;"")*(평가!C8:P8=평가!C25:P25))/SUMPRODUCT((평가!C8:P8&lt;&gt;"")*(평가!C25:P25&lt;&gt;"")),"")</f>
        <v/>
      </c>
      <c r="V7" s="19">
        <f>IFERROR(SUMPRODUCT((평가!C8:P8&lt;&gt;"")*(평가!C26:P26&lt;&gt;"")*(평가!C8:P8=평가!C26:P26))/SUMPRODUCT((평가!C8:P8&lt;&gt;"")*(평가!C26:P26&lt;&gt;"")),"")</f>
        <v/>
      </c>
      <c r="W7" s="19">
        <f>IFERROR(SUMPRODUCT((평가!C8:P8&lt;&gt;"")*(평가!C27:P27&lt;&gt;"")*(평가!C8:P8=평가!C27:P27))/SUMPRODUCT((평가!C8:P8&lt;&gt;"")*(평가!C27:P27&lt;&gt;"")),"")</f>
        <v/>
      </c>
      <c r="X7" s="19">
        <f>IFERROR(SUMPRODUCT((평가!C8:P8&lt;&gt;"")*(평가!C28:P28&lt;&gt;"")*(평가!C8:P8=평가!C28:P28))/SUMPRODUCT((평가!C8:P8&lt;&gt;"")*(평가!C28:P28&lt;&gt;"")),"")</f>
        <v/>
      </c>
      <c r="Y7" s="19">
        <f>IFERROR(SUMPRODUCT((평가!C8:P8&lt;&gt;"")*(평가!C29:P29&lt;&gt;"")*(평가!C8:P8=평가!C29:P29))/SUMPRODUCT((평가!C8:P8&lt;&gt;"")*(평가!C29:P29&lt;&gt;"")),"")</f>
        <v/>
      </c>
    </row>
    <row r="8" ht="18" customHeight="1">
      <c r="A8" s="14" t="inlineStr">
        <is>
          <t>기계공학과</t>
        </is>
      </c>
      <c r="B8" s="19">
        <f>IFERROR(SUMPRODUCT((평가!C9:P9&lt;&gt;"")*(평가!C6:P6&lt;&gt;"")*(평가!C9:P9=평가!C6:P6))/SUMPRODUCT((평가!C9:P9&lt;&gt;"")*(평가!C6:P6&lt;&gt;"")),"")</f>
        <v/>
      </c>
      <c r="C8" s="19">
        <f>IFERROR(SUMPRODUCT((평가!C9:P9&lt;&gt;"")*(평가!C7:P7&lt;&gt;"")*(평가!C9:P9=평가!C7:P7))/SUMPRODUCT((평가!C9:P9&lt;&gt;"")*(평가!C7:P7&lt;&gt;"")),"")</f>
        <v/>
      </c>
      <c r="D8" s="19">
        <f>IFERROR(SUMPRODUCT((평가!C9:P9&lt;&gt;"")*(평가!C8:P8&lt;&gt;"")*(평가!C9:P9=평가!C8:P8))/SUMPRODUCT((평가!C9:P9&lt;&gt;"")*(평가!C8:P8&lt;&gt;"")),"")</f>
        <v/>
      </c>
      <c r="E8" s="18">
        <f>"-"</f>
        <v/>
      </c>
      <c r="F8" s="19">
        <f>IFERROR(SUMPRODUCT((평가!C9:P9&lt;&gt;"")*(평가!C10:P10&lt;&gt;"")*(평가!C9:P9=평가!C10:P10))/SUMPRODUCT((평가!C9:P9&lt;&gt;"")*(평가!C10:P10&lt;&gt;"")),"")</f>
        <v/>
      </c>
      <c r="G8" s="19">
        <f>IFERROR(SUMPRODUCT((평가!C9:P9&lt;&gt;"")*(평가!C11:P11&lt;&gt;"")*(평가!C9:P9=평가!C11:P11))/SUMPRODUCT((평가!C9:P9&lt;&gt;"")*(평가!C11:P11&lt;&gt;"")),"")</f>
        <v/>
      </c>
      <c r="H8" s="19">
        <f>IFERROR(SUMPRODUCT((평가!C9:P9&lt;&gt;"")*(평가!C12:P12&lt;&gt;"")*(평가!C9:P9=평가!C12:P12))/SUMPRODUCT((평가!C9:P9&lt;&gt;"")*(평가!C12:P12&lt;&gt;"")),"")</f>
        <v/>
      </c>
      <c r="I8" s="19">
        <f>IFERROR(SUMPRODUCT((평가!C9:P9&lt;&gt;"")*(평가!C13:P13&lt;&gt;"")*(평가!C9:P9=평가!C13:P13))/SUMPRODUCT((평가!C9:P9&lt;&gt;"")*(평가!C13:P13&lt;&gt;"")),"")</f>
        <v/>
      </c>
      <c r="J8" s="19">
        <f>IFERROR(SUMPRODUCT((평가!C9:P9&lt;&gt;"")*(평가!C14:P14&lt;&gt;"")*(평가!C9:P9=평가!C14:P14))/SUMPRODUCT((평가!C9:P9&lt;&gt;"")*(평가!C14:P14&lt;&gt;"")),"")</f>
        <v/>
      </c>
      <c r="K8" s="19">
        <f>IFERROR(SUMPRODUCT((평가!C9:P9&lt;&gt;"")*(평가!C15:P15&lt;&gt;"")*(평가!C9:P9=평가!C15:P15))/SUMPRODUCT((평가!C9:P9&lt;&gt;"")*(평가!C15:P15&lt;&gt;"")),"")</f>
        <v/>
      </c>
      <c r="L8" s="19">
        <f>IFERROR(SUMPRODUCT((평가!C9:P9&lt;&gt;"")*(평가!C16:P16&lt;&gt;"")*(평가!C9:P9=평가!C16:P16))/SUMPRODUCT((평가!C9:P9&lt;&gt;"")*(평가!C16:P16&lt;&gt;"")),"")</f>
        <v/>
      </c>
      <c r="M8" s="19">
        <f>IFERROR(SUMPRODUCT((평가!C9:P9&lt;&gt;"")*(평가!C17:P17&lt;&gt;"")*(평가!C9:P9=평가!C17:P17))/SUMPRODUCT((평가!C9:P9&lt;&gt;"")*(평가!C17:P17&lt;&gt;"")),"")</f>
        <v/>
      </c>
      <c r="N8" s="19">
        <f>IFERROR(SUMPRODUCT((평가!C9:P9&lt;&gt;"")*(평가!C18:P18&lt;&gt;"")*(평가!C9:P9=평가!C18:P18))/SUMPRODUCT((평가!C9:P9&lt;&gt;"")*(평가!C18:P18&lt;&gt;"")),"")</f>
        <v/>
      </c>
      <c r="O8" s="19">
        <f>IFERROR(SUMPRODUCT((평가!C9:P9&lt;&gt;"")*(평가!C19:P19&lt;&gt;"")*(평가!C9:P9=평가!C19:P19))/SUMPRODUCT((평가!C9:P9&lt;&gt;"")*(평가!C19:P19&lt;&gt;"")),"")</f>
        <v/>
      </c>
      <c r="P8" s="19">
        <f>IFERROR(SUMPRODUCT((평가!C9:P9&lt;&gt;"")*(평가!C20:P20&lt;&gt;"")*(평가!C9:P9=평가!C20:P20))/SUMPRODUCT((평가!C9:P9&lt;&gt;"")*(평가!C20:P20&lt;&gt;"")),"")</f>
        <v/>
      </c>
      <c r="Q8" s="19">
        <f>IFERROR(SUMPRODUCT((평가!C9:P9&lt;&gt;"")*(평가!C21:P21&lt;&gt;"")*(평가!C9:P9=평가!C21:P21))/SUMPRODUCT((평가!C9:P9&lt;&gt;"")*(평가!C21:P21&lt;&gt;"")),"")</f>
        <v/>
      </c>
      <c r="R8" s="19">
        <f>IFERROR(SUMPRODUCT((평가!C9:P9&lt;&gt;"")*(평가!C22:P22&lt;&gt;"")*(평가!C9:P9=평가!C22:P22))/SUMPRODUCT((평가!C9:P9&lt;&gt;"")*(평가!C22:P22&lt;&gt;"")),"")</f>
        <v/>
      </c>
      <c r="S8" s="19">
        <f>IFERROR(SUMPRODUCT((평가!C9:P9&lt;&gt;"")*(평가!C23:P23&lt;&gt;"")*(평가!C9:P9=평가!C23:P23))/SUMPRODUCT((평가!C9:P9&lt;&gt;"")*(평가!C23:P23&lt;&gt;"")),"")</f>
        <v/>
      </c>
      <c r="T8" s="19">
        <f>IFERROR(SUMPRODUCT((평가!C9:P9&lt;&gt;"")*(평가!C24:P24&lt;&gt;"")*(평가!C9:P9=평가!C24:P24))/SUMPRODUCT((평가!C9:P9&lt;&gt;"")*(평가!C24:P24&lt;&gt;"")),"")</f>
        <v/>
      </c>
      <c r="U8" s="19">
        <f>IFERROR(SUMPRODUCT((평가!C9:P9&lt;&gt;"")*(평가!C25:P25&lt;&gt;"")*(평가!C9:P9=평가!C25:P25))/SUMPRODUCT((평가!C9:P9&lt;&gt;"")*(평가!C25:P25&lt;&gt;"")),"")</f>
        <v/>
      </c>
      <c r="V8" s="19">
        <f>IFERROR(SUMPRODUCT((평가!C9:P9&lt;&gt;"")*(평가!C26:P26&lt;&gt;"")*(평가!C9:P9=평가!C26:P26))/SUMPRODUCT((평가!C9:P9&lt;&gt;"")*(평가!C26:P26&lt;&gt;"")),"")</f>
        <v/>
      </c>
      <c r="W8" s="19">
        <f>IFERROR(SUMPRODUCT((평가!C9:P9&lt;&gt;"")*(평가!C27:P27&lt;&gt;"")*(평가!C9:P9=평가!C27:P27))/SUMPRODUCT((평가!C9:P9&lt;&gt;"")*(평가!C27:P27&lt;&gt;"")),"")</f>
        <v/>
      </c>
      <c r="X8" s="19">
        <f>IFERROR(SUMPRODUCT((평가!C9:P9&lt;&gt;"")*(평가!C28:P28&lt;&gt;"")*(평가!C9:P9=평가!C28:P28))/SUMPRODUCT((평가!C9:P9&lt;&gt;"")*(평가!C28:P28&lt;&gt;"")),"")</f>
        <v/>
      </c>
      <c r="Y8" s="19">
        <f>IFERROR(SUMPRODUCT((평가!C9:P9&lt;&gt;"")*(평가!C29:P29&lt;&gt;"")*(평가!C9:P9=평가!C29:P29))/SUMPRODUCT((평가!C9:P9&lt;&gt;"")*(평가!C29:P29&lt;&gt;"")),"")</f>
        <v/>
      </c>
    </row>
    <row r="9" ht="18" customHeight="1">
      <c r="A9" s="14" t="inlineStr">
        <is>
          <t>화학과</t>
        </is>
      </c>
      <c r="B9" s="19">
        <f>IFERROR(SUMPRODUCT((평가!C10:P10&lt;&gt;"")*(평가!C6:P6&lt;&gt;"")*(평가!C10:P10=평가!C6:P6))/SUMPRODUCT((평가!C10:P10&lt;&gt;"")*(평가!C6:P6&lt;&gt;"")),"")</f>
        <v/>
      </c>
      <c r="C9" s="19">
        <f>IFERROR(SUMPRODUCT((평가!C10:P10&lt;&gt;"")*(평가!C7:P7&lt;&gt;"")*(평가!C10:P10=평가!C7:P7))/SUMPRODUCT((평가!C10:P10&lt;&gt;"")*(평가!C7:P7&lt;&gt;"")),"")</f>
        <v/>
      </c>
      <c r="D9" s="19">
        <f>IFERROR(SUMPRODUCT((평가!C10:P10&lt;&gt;"")*(평가!C8:P8&lt;&gt;"")*(평가!C10:P10=평가!C8:P8))/SUMPRODUCT((평가!C10:P10&lt;&gt;"")*(평가!C8:P8&lt;&gt;"")),"")</f>
        <v/>
      </c>
      <c r="E9" s="19">
        <f>IFERROR(SUMPRODUCT((평가!C10:P10&lt;&gt;"")*(평가!C9:P9&lt;&gt;"")*(평가!C10:P10=평가!C9:P9))/SUMPRODUCT((평가!C10:P10&lt;&gt;"")*(평가!C9:P9&lt;&gt;"")),"")</f>
        <v/>
      </c>
      <c r="F9" s="18">
        <f>"-"</f>
        <v/>
      </c>
      <c r="G9" s="19">
        <f>IFERROR(SUMPRODUCT((평가!C10:P10&lt;&gt;"")*(평가!C11:P11&lt;&gt;"")*(평가!C10:P10=평가!C11:P11))/SUMPRODUCT((평가!C10:P10&lt;&gt;"")*(평가!C11:P11&lt;&gt;"")),"")</f>
        <v/>
      </c>
      <c r="H9" s="19">
        <f>IFERROR(SUMPRODUCT((평가!C10:P10&lt;&gt;"")*(평가!C12:P12&lt;&gt;"")*(평가!C10:P10=평가!C12:P12))/SUMPRODUCT((평가!C10:P10&lt;&gt;"")*(평가!C12:P12&lt;&gt;"")),"")</f>
        <v/>
      </c>
      <c r="I9" s="19">
        <f>IFERROR(SUMPRODUCT((평가!C10:P10&lt;&gt;"")*(평가!C13:P13&lt;&gt;"")*(평가!C10:P10=평가!C13:P13))/SUMPRODUCT((평가!C10:P10&lt;&gt;"")*(평가!C13:P13&lt;&gt;"")),"")</f>
        <v/>
      </c>
      <c r="J9" s="19">
        <f>IFERROR(SUMPRODUCT((평가!C10:P10&lt;&gt;"")*(평가!C14:P14&lt;&gt;"")*(평가!C10:P10=평가!C14:P14))/SUMPRODUCT((평가!C10:P10&lt;&gt;"")*(평가!C14:P14&lt;&gt;"")),"")</f>
        <v/>
      </c>
      <c r="K9" s="19">
        <f>IFERROR(SUMPRODUCT((평가!C10:P10&lt;&gt;"")*(평가!C15:P15&lt;&gt;"")*(평가!C10:P10=평가!C15:P15))/SUMPRODUCT((평가!C10:P10&lt;&gt;"")*(평가!C15:P15&lt;&gt;"")),"")</f>
        <v/>
      </c>
      <c r="L9" s="19">
        <f>IFERROR(SUMPRODUCT((평가!C10:P10&lt;&gt;"")*(평가!C16:P16&lt;&gt;"")*(평가!C10:P10=평가!C16:P16))/SUMPRODUCT((평가!C10:P10&lt;&gt;"")*(평가!C16:P16&lt;&gt;"")),"")</f>
        <v/>
      </c>
      <c r="M9" s="19">
        <f>IFERROR(SUMPRODUCT((평가!C10:P10&lt;&gt;"")*(평가!C17:P17&lt;&gt;"")*(평가!C10:P10=평가!C17:P17))/SUMPRODUCT((평가!C10:P10&lt;&gt;"")*(평가!C17:P17&lt;&gt;"")),"")</f>
        <v/>
      </c>
      <c r="N9" s="19">
        <f>IFERROR(SUMPRODUCT((평가!C10:P10&lt;&gt;"")*(평가!C18:P18&lt;&gt;"")*(평가!C10:P10=평가!C18:P18))/SUMPRODUCT((평가!C10:P10&lt;&gt;"")*(평가!C18:P18&lt;&gt;"")),"")</f>
        <v/>
      </c>
      <c r="O9" s="19">
        <f>IFERROR(SUMPRODUCT((평가!C10:P10&lt;&gt;"")*(평가!C19:P19&lt;&gt;"")*(평가!C10:P10=평가!C19:P19))/SUMPRODUCT((평가!C10:P10&lt;&gt;"")*(평가!C19:P19&lt;&gt;"")),"")</f>
        <v/>
      </c>
      <c r="P9" s="19">
        <f>IFERROR(SUMPRODUCT((평가!C10:P10&lt;&gt;"")*(평가!C20:P20&lt;&gt;"")*(평가!C10:P10=평가!C20:P20))/SUMPRODUCT((평가!C10:P10&lt;&gt;"")*(평가!C20:P20&lt;&gt;"")),"")</f>
        <v/>
      </c>
      <c r="Q9" s="19">
        <f>IFERROR(SUMPRODUCT((평가!C10:P10&lt;&gt;"")*(평가!C21:P21&lt;&gt;"")*(평가!C10:P10=평가!C21:P21))/SUMPRODUCT((평가!C10:P10&lt;&gt;"")*(평가!C21:P21&lt;&gt;"")),"")</f>
        <v/>
      </c>
      <c r="R9" s="19">
        <f>IFERROR(SUMPRODUCT((평가!C10:P10&lt;&gt;"")*(평가!C22:P22&lt;&gt;"")*(평가!C10:P10=평가!C22:P22))/SUMPRODUCT((평가!C10:P10&lt;&gt;"")*(평가!C22:P22&lt;&gt;"")),"")</f>
        <v/>
      </c>
      <c r="S9" s="19">
        <f>IFERROR(SUMPRODUCT((평가!C10:P10&lt;&gt;"")*(평가!C23:P23&lt;&gt;"")*(평가!C10:P10=평가!C23:P23))/SUMPRODUCT((평가!C10:P10&lt;&gt;"")*(평가!C23:P23&lt;&gt;"")),"")</f>
        <v/>
      </c>
      <c r="T9" s="19">
        <f>IFERROR(SUMPRODUCT((평가!C10:P10&lt;&gt;"")*(평가!C24:P24&lt;&gt;"")*(평가!C10:P10=평가!C24:P24))/SUMPRODUCT((평가!C10:P10&lt;&gt;"")*(평가!C24:P24&lt;&gt;"")),"")</f>
        <v/>
      </c>
      <c r="U9" s="19">
        <f>IFERROR(SUMPRODUCT((평가!C10:P10&lt;&gt;"")*(평가!C25:P25&lt;&gt;"")*(평가!C10:P10=평가!C25:P25))/SUMPRODUCT((평가!C10:P10&lt;&gt;"")*(평가!C25:P25&lt;&gt;"")),"")</f>
        <v/>
      </c>
      <c r="V9" s="19">
        <f>IFERROR(SUMPRODUCT((평가!C10:P10&lt;&gt;"")*(평가!C26:P26&lt;&gt;"")*(평가!C10:P10=평가!C26:P26))/SUMPRODUCT((평가!C10:P10&lt;&gt;"")*(평가!C26:P26&lt;&gt;"")),"")</f>
        <v/>
      </c>
      <c r="W9" s="19">
        <f>IFERROR(SUMPRODUCT((평가!C10:P10&lt;&gt;"")*(평가!C27:P27&lt;&gt;"")*(평가!C10:P10=평가!C27:P27))/SUMPRODUCT((평가!C10:P10&lt;&gt;"")*(평가!C27:P27&lt;&gt;"")),"")</f>
        <v/>
      </c>
      <c r="X9" s="19">
        <f>IFERROR(SUMPRODUCT((평가!C10:P10&lt;&gt;"")*(평가!C28:P28&lt;&gt;"")*(평가!C10:P10=평가!C28:P28))/SUMPRODUCT((평가!C10:P10&lt;&gt;"")*(평가!C28:P28&lt;&gt;"")),"")</f>
        <v/>
      </c>
      <c r="Y9" s="19">
        <f>IFERROR(SUMPRODUCT((평가!C10:P10&lt;&gt;"")*(평가!C29:P29&lt;&gt;"")*(평가!C10:P10=평가!C29:P29))/SUMPRODUCT((평가!C10:P10&lt;&gt;"")*(평가!C29:P29&lt;&gt;"")),"")</f>
        <v/>
      </c>
    </row>
    <row r="10" ht="18" customHeight="1">
      <c r="A10" s="14" t="inlineStr">
        <is>
          <t>산업공학과</t>
        </is>
      </c>
      <c r="B10" s="19">
        <f>IFERROR(SUMPRODUCT((평가!C11:P11&lt;&gt;"")*(평가!C6:P6&lt;&gt;"")*(평가!C11:P11=평가!C6:P6))/SUMPRODUCT((평가!C11:P11&lt;&gt;"")*(평가!C6:P6&lt;&gt;"")),"")</f>
        <v/>
      </c>
      <c r="C10" s="19">
        <f>IFERROR(SUMPRODUCT((평가!C11:P11&lt;&gt;"")*(평가!C7:P7&lt;&gt;"")*(평가!C11:P11=평가!C7:P7))/SUMPRODUCT((평가!C11:P11&lt;&gt;"")*(평가!C7:P7&lt;&gt;"")),"")</f>
        <v/>
      </c>
      <c r="D10" s="19">
        <f>IFERROR(SUMPRODUCT((평가!C11:P11&lt;&gt;"")*(평가!C8:P8&lt;&gt;"")*(평가!C11:P11=평가!C8:P8))/SUMPRODUCT((평가!C11:P11&lt;&gt;"")*(평가!C8:P8&lt;&gt;"")),"")</f>
        <v/>
      </c>
      <c r="E10" s="19">
        <f>IFERROR(SUMPRODUCT((평가!C11:P11&lt;&gt;"")*(평가!C9:P9&lt;&gt;"")*(평가!C11:P11=평가!C9:P9))/SUMPRODUCT((평가!C11:P11&lt;&gt;"")*(평가!C9:P9&lt;&gt;"")),"")</f>
        <v/>
      </c>
      <c r="F10" s="19">
        <f>IFERROR(SUMPRODUCT((평가!C11:P11&lt;&gt;"")*(평가!C10:P10&lt;&gt;"")*(평가!C11:P11=평가!C10:P10))/SUMPRODUCT((평가!C11:P11&lt;&gt;"")*(평가!C10:P10&lt;&gt;"")),"")</f>
        <v/>
      </c>
      <c r="G10" s="18">
        <f>"-"</f>
        <v/>
      </c>
      <c r="H10" s="19">
        <f>IFERROR(SUMPRODUCT((평가!C11:P11&lt;&gt;"")*(평가!C12:P12&lt;&gt;"")*(평가!C11:P11=평가!C12:P12))/SUMPRODUCT((평가!C11:P11&lt;&gt;"")*(평가!C12:P12&lt;&gt;"")),"")</f>
        <v/>
      </c>
      <c r="I10" s="19">
        <f>IFERROR(SUMPRODUCT((평가!C11:P11&lt;&gt;"")*(평가!C13:P13&lt;&gt;"")*(평가!C11:P11=평가!C13:P13))/SUMPRODUCT((평가!C11:P11&lt;&gt;"")*(평가!C13:P13&lt;&gt;"")),"")</f>
        <v/>
      </c>
      <c r="J10" s="19">
        <f>IFERROR(SUMPRODUCT((평가!C11:P11&lt;&gt;"")*(평가!C14:P14&lt;&gt;"")*(평가!C11:P11=평가!C14:P14))/SUMPRODUCT((평가!C11:P11&lt;&gt;"")*(평가!C14:P14&lt;&gt;"")),"")</f>
        <v/>
      </c>
      <c r="K10" s="19">
        <f>IFERROR(SUMPRODUCT((평가!C11:P11&lt;&gt;"")*(평가!C15:P15&lt;&gt;"")*(평가!C11:P11=평가!C15:P15))/SUMPRODUCT((평가!C11:P11&lt;&gt;"")*(평가!C15:P15&lt;&gt;"")),"")</f>
        <v/>
      </c>
      <c r="L10" s="19">
        <f>IFERROR(SUMPRODUCT((평가!C11:P11&lt;&gt;"")*(평가!C16:P16&lt;&gt;"")*(평가!C11:P11=평가!C16:P16))/SUMPRODUCT((평가!C11:P11&lt;&gt;"")*(평가!C16:P16&lt;&gt;"")),"")</f>
        <v/>
      </c>
      <c r="M10" s="19">
        <f>IFERROR(SUMPRODUCT((평가!C11:P11&lt;&gt;"")*(평가!C17:P17&lt;&gt;"")*(평가!C11:P11=평가!C17:P17))/SUMPRODUCT((평가!C11:P11&lt;&gt;"")*(평가!C17:P17&lt;&gt;"")),"")</f>
        <v/>
      </c>
      <c r="N10" s="19">
        <f>IFERROR(SUMPRODUCT((평가!C11:P11&lt;&gt;"")*(평가!C18:P18&lt;&gt;"")*(평가!C11:P11=평가!C18:P18))/SUMPRODUCT((평가!C11:P11&lt;&gt;"")*(평가!C18:P18&lt;&gt;"")),"")</f>
        <v/>
      </c>
      <c r="O10" s="19">
        <f>IFERROR(SUMPRODUCT((평가!C11:P11&lt;&gt;"")*(평가!C19:P19&lt;&gt;"")*(평가!C11:P11=평가!C19:P19))/SUMPRODUCT((평가!C11:P11&lt;&gt;"")*(평가!C19:P19&lt;&gt;"")),"")</f>
        <v/>
      </c>
      <c r="P10" s="19">
        <f>IFERROR(SUMPRODUCT((평가!C11:P11&lt;&gt;"")*(평가!C20:P20&lt;&gt;"")*(평가!C11:P11=평가!C20:P20))/SUMPRODUCT((평가!C11:P11&lt;&gt;"")*(평가!C20:P20&lt;&gt;"")),"")</f>
        <v/>
      </c>
      <c r="Q10" s="19">
        <f>IFERROR(SUMPRODUCT((평가!C11:P11&lt;&gt;"")*(평가!C21:P21&lt;&gt;"")*(평가!C11:P11=평가!C21:P21))/SUMPRODUCT((평가!C11:P11&lt;&gt;"")*(평가!C21:P21&lt;&gt;"")),"")</f>
        <v/>
      </c>
      <c r="R10" s="19">
        <f>IFERROR(SUMPRODUCT((평가!C11:P11&lt;&gt;"")*(평가!C22:P22&lt;&gt;"")*(평가!C11:P11=평가!C22:P22))/SUMPRODUCT((평가!C11:P11&lt;&gt;"")*(평가!C22:P22&lt;&gt;"")),"")</f>
        <v/>
      </c>
      <c r="S10" s="19">
        <f>IFERROR(SUMPRODUCT((평가!C11:P11&lt;&gt;"")*(평가!C23:P23&lt;&gt;"")*(평가!C11:P11=평가!C23:P23))/SUMPRODUCT((평가!C11:P11&lt;&gt;"")*(평가!C23:P23&lt;&gt;"")),"")</f>
        <v/>
      </c>
      <c r="T10" s="19">
        <f>IFERROR(SUMPRODUCT((평가!C11:P11&lt;&gt;"")*(평가!C24:P24&lt;&gt;"")*(평가!C11:P11=평가!C24:P24))/SUMPRODUCT((평가!C11:P11&lt;&gt;"")*(평가!C24:P24&lt;&gt;"")),"")</f>
        <v/>
      </c>
      <c r="U10" s="19">
        <f>IFERROR(SUMPRODUCT((평가!C11:P11&lt;&gt;"")*(평가!C25:P25&lt;&gt;"")*(평가!C11:P11=평가!C25:P25))/SUMPRODUCT((평가!C11:P11&lt;&gt;"")*(평가!C25:P25&lt;&gt;"")),"")</f>
        <v/>
      </c>
      <c r="V10" s="19">
        <f>IFERROR(SUMPRODUCT((평가!C11:P11&lt;&gt;"")*(평가!C26:P26&lt;&gt;"")*(평가!C11:P11=평가!C26:P26))/SUMPRODUCT((평가!C11:P11&lt;&gt;"")*(평가!C26:P26&lt;&gt;"")),"")</f>
        <v/>
      </c>
      <c r="W10" s="19">
        <f>IFERROR(SUMPRODUCT((평가!C11:P11&lt;&gt;"")*(평가!C27:P27&lt;&gt;"")*(평가!C11:P11=평가!C27:P27))/SUMPRODUCT((평가!C11:P11&lt;&gt;"")*(평가!C27:P27&lt;&gt;"")),"")</f>
        <v/>
      </c>
      <c r="X10" s="19">
        <f>IFERROR(SUMPRODUCT((평가!C11:P11&lt;&gt;"")*(평가!C28:P28&lt;&gt;"")*(평가!C11:P11=평가!C28:P28))/SUMPRODUCT((평가!C11:P11&lt;&gt;"")*(평가!C28:P28&lt;&gt;"")),"")</f>
        <v/>
      </c>
      <c r="Y10" s="19">
        <f>IFERROR(SUMPRODUCT((평가!C11:P11&lt;&gt;"")*(평가!C29:P29&lt;&gt;"")*(평가!C11:P11=평가!C29:P29))/SUMPRODUCT((평가!C11:P11&lt;&gt;"")*(평가!C29:P29&lt;&gt;"")),"")</f>
        <v/>
      </c>
    </row>
    <row r="11" ht="18" customHeight="1">
      <c r="A11" s="14" t="inlineStr">
        <is>
          <t>신소재공학과</t>
        </is>
      </c>
      <c r="B11" s="19">
        <f>IFERROR(SUMPRODUCT((평가!C12:P12&lt;&gt;"")*(평가!C6:P6&lt;&gt;"")*(평가!C12:P12=평가!C6:P6))/SUMPRODUCT((평가!C12:P12&lt;&gt;"")*(평가!C6:P6&lt;&gt;"")),"")</f>
        <v/>
      </c>
      <c r="C11" s="19">
        <f>IFERROR(SUMPRODUCT((평가!C12:P12&lt;&gt;"")*(평가!C7:P7&lt;&gt;"")*(평가!C12:P12=평가!C7:P7))/SUMPRODUCT((평가!C12:P12&lt;&gt;"")*(평가!C7:P7&lt;&gt;"")),"")</f>
        <v/>
      </c>
      <c r="D11" s="19">
        <f>IFERROR(SUMPRODUCT((평가!C12:P12&lt;&gt;"")*(평가!C8:P8&lt;&gt;"")*(평가!C12:P12=평가!C8:P8))/SUMPRODUCT((평가!C12:P12&lt;&gt;"")*(평가!C8:P8&lt;&gt;"")),"")</f>
        <v/>
      </c>
      <c r="E11" s="19">
        <f>IFERROR(SUMPRODUCT((평가!C12:P12&lt;&gt;"")*(평가!C9:P9&lt;&gt;"")*(평가!C12:P12=평가!C9:P9))/SUMPRODUCT((평가!C12:P12&lt;&gt;"")*(평가!C9:P9&lt;&gt;"")),"")</f>
        <v/>
      </c>
      <c r="F11" s="19">
        <f>IFERROR(SUMPRODUCT((평가!C12:P12&lt;&gt;"")*(평가!C10:P10&lt;&gt;"")*(평가!C12:P12=평가!C10:P10))/SUMPRODUCT((평가!C12:P12&lt;&gt;"")*(평가!C10:P10&lt;&gt;"")),"")</f>
        <v/>
      </c>
      <c r="G11" s="19">
        <f>IFERROR(SUMPRODUCT((평가!C12:P12&lt;&gt;"")*(평가!C11:P11&lt;&gt;"")*(평가!C12:P12=평가!C11:P11))/SUMPRODUCT((평가!C12:P12&lt;&gt;"")*(평가!C11:P11&lt;&gt;"")),"")</f>
        <v/>
      </c>
      <c r="H11" s="18">
        <f>"-"</f>
        <v/>
      </c>
      <c r="I11" s="19">
        <f>IFERROR(SUMPRODUCT((평가!C12:P12&lt;&gt;"")*(평가!C13:P13&lt;&gt;"")*(평가!C12:P12=평가!C13:P13))/SUMPRODUCT((평가!C12:P12&lt;&gt;"")*(평가!C13:P13&lt;&gt;"")),"")</f>
        <v/>
      </c>
      <c r="J11" s="19">
        <f>IFERROR(SUMPRODUCT((평가!C12:P12&lt;&gt;"")*(평가!C14:P14&lt;&gt;"")*(평가!C12:P12=평가!C14:P14))/SUMPRODUCT((평가!C12:P12&lt;&gt;"")*(평가!C14:P14&lt;&gt;"")),"")</f>
        <v/>
      </c>
      <c r="K11" s="19">
        <f>IFERROR(SUMPRODUCT((평가!C12:P12&lt;&gt;"")*(평가!C15:P15&lt;&gt;"")*(평가!C12:P12=평가!C15:P15))/SUMPRODUCT((평가!C12:P12&lt;&gt;"")*(평가!C15:P15&lt;&gt;"")),"")</f>
        <v/>
      </c>
      <c r="L11" s="19">
        <f>IFERROR(SUMPRODUCT((평가!C12:P12&lt;&gt;"")*(평가!C16:P16&lt;&gt;"")*(평가!C12:P12=평가!C16:P16))/SUMPRODUCT((평가!C12:P12&lt;&gt;"")*(평가!C16:P16&lt;&gt;"")),"")</f>
        <v/>
      </c>
      <c r="M11" s="19">
        <f>IFERROR(SUMPRODUCT((평가!C12:P12&lt;&gt;"")*(평가!C17:P17&lt;&gt;"")*(평가!C12:P12=평가!C17:P17))/SUMPRODUCT((평가!C12:P12&lt;&gt;"")*(평가!C17:P17&lt;&gt;"")),"")</f>
        <v/>
      </c>
      <c r="N11" s="19">
        <f>IFERROR(SUMPRODUCT((평가!C12:P12&lt;&gt;"")*(평가!C18:P18&lt;&gt;"")*(평가!C12:P12=평가!C18:P18))/SUMPRODUCT((평가!C12:P12&lt;&gt;"")*(평가!C18:P18&lt;&gt;"")),"")</f>
        <v/>
      </c>
      <c r="O11" s="19">
        <f>IFERROR(SUMPRODUCT((평가!C12:P12&lt;&gt;"")*(평가!C19:P19&lt;&gt;"")*(평가!C12:P12=평가!C19:P19))/SUMPRODUCT((평가!C12:P12&lt;&gt;"")*(평가!C19:P19&lt;&gt;"")),"")</f>
        <v/>
      </c>
      <c r="P11" s="19">
        <f>IFERROR(SUMPRODUCT((평가!C12:P12&lt;&gt;"")*(평가!C20:P20&lt;&gt;"")*(평가!C12:P12=평가!C20:P20))/SUMPRODUCT((평가!C12:P12&lt;&gt;"")*(평가!C20:P20&lt;&gt;"")),"")</f>
        <v/>
      </c>
      <c r="Q11" s="19">
        <f>IFERROR(SUMPRODUCT((평가!C12:P12&lt;&gt;"")*(평가!C21:P21&lt;&gt;"")*(평가!C12:P12=평가!C21:P21))/SUMPRODUCT((평가!C12:P12&lt;&gt;"")*(평가!C21:P21&lt;&gt;"")),"")</f>
        <v/>
      </c>
      <c r="R11" s="19">
        <f>IFERROR(SUMPRODUCT((평가!C12:P12&lt;&gt;"")*(평가!C22:P22&lt;&gt;"")*(평가!C12:P12=평가!C22:P22))/SUMPRODUCT((평가!C12:P12&lt;&gt;"")*(평가!C22:P22&lt;&gt;"")),"")</f>
        <v/>
      </c>
      <c r="S11" s="19">
        <f>IFERROR(SUMPRODUCT((평가!C12:P12&lt;&gt;"")*(평가!C23:P23&lt;&gt;"")*(평가!C12:P12=평가!C23:P23))/SUMPRODUCT((평가!C12:P12&lt;&gt;"")*(평가!C23:P23&lt;&gt;"")),"")</f>
        <v/>
      </c>
      <c r="T11" s="19">
        <f>IFERROR(SUMPRODUCT((평가!C12:P12&lt;&gt;"")*(평가!C24:P24&lt;&gt;"")*(평가!C12:P12=평가!C24:P24))/SUMPRODUCT((평가!C12:P12&lt;&gt;"")*(평가!C24:P24&lt;&gt;"")),"")</f>
        <v/>
      </c>
      <c r="U11" s="19">
        <f>IFERROR(SUMPRODUCT((평가!C12:P12&lt;&gt;"")*(평가!C25:P25&lt;&gt;"")*(평가!C12:P12=평가!C25:P25))/SUMPRODUCT((평가!C12:P12&lt;&gt;"")*(평가!C25:P25&lt;&gt;"")),"")</f>
        <v/>
      </c>
      <c r="V11" s="19">
        <f>IFERROR(SUMPRODUCT((평가!C12:P12&lt;&gt;"")*(평가!C26:P26&lt;&gt;"")*(평가!C12:P12=평가!C26:P26))/SUMPRODUCT((평가!C12:P12&lt;&gt;"")*(평가!C26:P26&lt;&gt;"")),"")</f>
        <v/>
      </c>
      <c r="W11" s="19">
        <f>IFERROR(SUMPRODUCT((평가!C12:P12&lt;&gt;"")*(평가!C27:P27&lt;&gt;"")*(평가!C12:P12=평가!C27:P27))/SUMPRODUCT((평가!C12:P12&lt;&gt;"")*(평가!C27:P27&lt;&gt;"")),"")</f>
        <v/>
      </c>
      <c r="X11" s="19">
        <f>IFERROR(SUMPRODUCT((평가!C12:P12&lt;&gt;"")*(평가!C28:P28&lt;&gt;"")*(평가!C12:P12=평가!C28:P28))/SUMPRODUCT((평가!C12:P12&lt;&gt;"")*(평가!C28:P28&lt;&gt;"")),"")</f>
        <v/>
      </c>
      <c r="Y11" s="19">
        <f>IFERROR(SUMPRODUCT((평가!C12:P12&lt;&gt;"")*(평가!C29:P29&lt;&gt;"")*(평가!C12:P12=평가!C29:P29))/SUMPRODUCT((평가!C12:P12&lt;&gt;"")*(평가!C29:P29&lt;&gt;"")),"")</f>
        <v/>
      </c>
    </row>
    <row r="12" ht="18" customHeight="1">
      <c r="A12" s="14" t="inlineStr">
        <is>
          <t>조선해양공학과</t>
        </is>
      </c>
      <c r="B12" s="19">
        <f>IFERROR(SUMPRODUCT((평가!C13:P13&lt;&gt;"")*(평가!C6:P6&lt;&gt;"")*(평가!C13:P13=평가!C6:P6))/SUMPRODUCT((평가!C13:P13&lt;&gt;"")*(평가!C6:P6&lt;&gt;"")),"")</f>
        <v/>
      </c>
      <c r="C12" s="19">
        <f>IFERROR(SUMPRODUCT((평가!C13:P13&lt;&gt;"")*(평가!C7:P7&lt;&gt;"")*(평가!C13:P13=평가!C7:P7))/SUMPRODUCT((평가!C13:P13&lt;&gt;"")*(평가!C7:P7&lt;&gt;"")),"")</f>
        <v/>
      </c>
      <c r="D12" s="19">
        <f>IFERROR(SUMPRODUCT((평가!C13:P13&lt;&gt;"")*(평가!C8:P8&lt;&gt;"")*(평가!C13:P13=평가!C8:P8))/SUMPRODUCT((평가!C13:P13&lt;&gt;"")*(평가!C8:P8&lt;&gt;"")),"")</f>
        <v/>
      </c>
      <c r="E12" s="19">
        <f>IFERROR(SUMPRODUCT((평가!C13:P13&lt;&gt;"")*(평가!C9:P9&lt;&gt;"")*(평가!C13:P13=평가!C9:P9))/SUMPRODUCT((평가!C13:P13&lt;&gt;"")*(평가!C9:P9&lt;&gt;"")),"")</f>
        <v/>
      </c>
      <c r="F12" s="19">
        <f>IFERROR(SUMPRODUCT((평가!C13:P13&lt;&gt;"")*(평가!C10:P10&lt;&gt;"")*(평가!C13:P13=평가!C10:P10))/SUMPRODUCT((평가!C13:P13&lt;&gt;"")*(평가!C10:P10&lt;&gt;"")),"")</f>
        <v/>
      </c>
      <c r="G12" s="19">
        <f>IFERROR(SUMPRODUCT((평가!C13:P13&lt;&gt;"")*(평가!C11:P11&lt;&gt;"")*(평가!C13:P13=평가!C11:P11))/SUMPRODUCT((평가!C13:P13&lt;&gt;"")*(평가!C11:P11&lt;&gt;"")),"")</f>
        <v/>
      </c>
      <c r="H12" s="19">
        <f>IFERROR(SUMPRODUCT((평가!C13:P13&lt;&gt;"")*(평가!C12:P12&lt;&gt;"")*(평가!C13:P13=평가!C12:P12))/SUMPRODUCT((평가!C13:P13&lt;&gt;"")*(평가!C12:P12&lt;&gt;"")),"")</f>
        <v/>
      </c>
      <c r="I12" s="18">
        <f>"-"</f>
        <v/>
      </c>
      <c r="J12" s="19">
        <f>IFERROR(SUMPRODUCT((평가!C13:P13&lt;&gt;"")*(평가!C14:P14&lt;&gt;"")*(평가!C13:P13=평가!C14:P14))/SUMPRODUCT((평가!C13:P13&lt;&gt;"")*(평가!C14:P14&lt;&gt;"")),"")</f>
        <v/>
      </c>
      <c r="K12" s="19">
        <f>IFERROR(SUMPRODUCT((평가!C13:P13&lt;&gt;"")*(평가!C15:P15&lt;&gt;"")*(평가!C13:P13=평가!C15:P15))/SUMPRODUCT((평가!C13:P13&lt;&gt;"")*(평가!C15:P15&lt;&gt;"")),"")</f>
        <v/>
      </c>
      <c r="L12" s="19">
        <f>IFERROR(SUMPRODUCT((평가!C13:P13&lt;&gt;"")*(평가!C16:P16&lt;&gt;"")*(평가!C13:P13=평가!C16:P16))/SUMPRODUCT((평가!C13:P13&lt;&gt;"")*(평가!C16:P16&lt;&gt;"")),"")</f>
        <v/>
      </c>
      <c r="M12" s="19">
        <f>IFERROR(SUMPRODUCT((평가!C13:P13&lt;&gt;"")*(평가!C17:P17&lt;&gt;"")*(평가!C13:P13=평가!C17:P17))/SUMPRODUCT((평가!C13:P13&lt;&gt;"")*(평가!C17:P17&lt;&gt;"")),"")</f>
        <v/>
      </c>
      <c r="N12" s="19">
        <f>IFERROR(SUMPRODUCT((평가!C13:P13&lt;&gt;"")*(평가!C18:P18&lt;&gt;"")*(평가!C13:P13=평가!C18:P18))/SUMPRODUCT((평가!C13:P13&lt;&gt;"")*(평가!C18:P18&lt;&gt;"")),"")</f>
        <v/>
      </c>
      <c r="O12" s="19">
        <f>IFERROR(SUMPRODUCT((평가!C13:P13&lt;&gt;"")*(평가!C19:P19&lt;&gt;"")*(평가!C13:P13=평가!C19:P19))/SUMPRODUCT((평가!C13:P13&lt;&gt;"")*(평가!C19:P19&lt;&gt;"")),"")</f>
        <v/>
      </c>
      <c r="P12" s="19">
        <f>IFERROR(SUMPRODUCT((평가!C13:P13&lt;&gt;"")*(평가!C20:P20&lt;&gt;"")*(평가!C13:P13=평가!C20:P20))/SUMPRODUCT((평가!C13:P13&lt;&gt;"")*(평가!C20:P20&lt;&gt;"")),"")</f>
        <v/>
      </c>
      <c r="Q12" s="19">
        <f>IFERROR(SUMPRODUCT((평가!C13:P13&lt;&gt;"")*(평가!C21:P21&lt;&gt;"")*(평가!C13:P13=평가!C21:P21))/SUMPRODUCT((평가!C13:P13&lt;&gt;"")*(평가!C21:P21&lt;&gt;"")),"")</f>
        <v/>
      </c>
      <c r="R12" s="19">
        <f>IFERROR(SUMPRODUCT((평가!C13:P13&lt;&gt;"")*(평가!C22:P22&lt;&gt;"")*(평가!C13:P13=평가!C22:P22))/SUMPRODUCT((평가!C13:P13&lt;&gt;"")*(평가!C22:P22&lt;&gt;"")),"")</f>
        <v/>
      </c>
      <c r="S12" s="19">
        <f>IFERROR(SUMPRODUCT((평가!C13:P13&lt;&gt;"")*(평가!C23:P23&lt;&gt;"")*(평가!C13:P13=평가!C23:P23))/SUMPRODUCT((평가!C13:P13&lt;&gt;"")*(평가!C23:P23&lt;&gt;"")),"")</f>
        <v/>
      </c>
      <c r="T12" s="19">
        <f>IFERROR(SUMPRODUCT((평가!C13:P13&lt;&gt;"")*(평가!C24:P24&lt;&gt;"")*(평가!C13:P13=평가!C24:P24))/SUMPRODUCT((평가!C13:P13&lt;&gt;"")*(평가!C24:P24&lt;&gt;"")),"")</f>
        <v/>
      </c>
      <c r="U12" s="19">
        <f>IFERROR(SUMPRODUCT((평가!C13:P13&lt;&gt;"")*(평가!C25:P25&lt;&gt;"")*(평가!C13:P13=평가!C25:P25))/SUMPRODUCT((평가!C13:P13&lt;&gt;"")*(평가!C25:P25&lt;&gt;"")),"")</f>
        <v/>
      </c>
      <c r="V12" s="19">
        <f>IFERROR(SUMPRODUCT((평가!C13:P13&lt;&gt;"")*(평가!C26:P26&lt;&gt;"")*(평가!C13:P13=평가!C26:P26))/SUMPRODUCT((평가!C13:P13&lt;&gt;"")*(평가!C26:P26&lt;&gt;"")),"")</f>
        <v/>
      </c>
      <c r="W12" s="19">
        <f>IFERROR(SUMPRODUCT((평가!C13:P13&lt;&gt;"")*(평가!C27:P27&lt;&gt;"")*(평가!C13:P13=평가!C27:P27))/SUMPRODUCT((평가!C13:P13&lt;&gt;"")*(평가!C27:P27&lt;&gt;"")),"")</f>
        <v/>
      </c>
      <c r="X12" s="19">
        <f>IFERROR(SUMPRODUCT((평가!C13:P13&lt;&gt;"")*(평가!C28:P28&lt;&gt;"")*(평가!C13:P13=평가!C28:P28))/SUMPRODUCT((평가!C13:P13&lt;&gt;"")*(평가!C28:P28&lt;&gt;"")),"")</f>
        <v/>
      </c>
      <c r="Y12" s="19">
        <f>IFERROR(SUMPRODUCT((평가!C13:P13&lt;&gt;"")*(평가!C29:P29&lt;&gt;"")*(평가!C13:P13=평가!C29:P29))/SUMPRODUCT((평가!C13:P13&lt;&gt;"")*(평가!C29:P29&lt;&gt;"")),"")</f>
        <v/>
      </c>
    </row>
    <row r="13" ht="18" customHeight="1">
      <c r="A13" s="14" t="inlineStr">
        <is>
          <t>의예과</t>
        </is>
      </c>
      <c r="B13" s="19">
        <f>IFERROR(SUMPRODUCT((평가!C14:P14&lt;&gt;"")*(평가!C6:P6&lt;&gt;"")*(평가!C14:P14=평가!C6:P6))/SUMPRODUCT((평가!C14:P14&lt;&gt;"")*(평가!C6:P6&lt;&gt;"")),"")</f>
        <v/>
      </c>
      <c r="C13" s="19">
        <f>IFERROR(SUMPRODUCT((평가!C14:P14&lt;&gt;"")*(평가!C7:P7&lt;&gt;"")*(평가!C14:P14=평가!C7:P7))/SUMPRODUCT((평가!C14:P14&lt;&gt;"")*(평가!C7:P7&lt;&gt;"")),"")</f>
        <v/>
      </c>
      <c r="D13" s="19">
        <f>IFERROR(SUMPRODUCT((평가!C14:P14&lt;&gt;"")*(평가!C8:P8&lt;&gt;"")*(평가!C14:P14=평가!C8:P8))/SUMPRODUCT((평가!C14:P14&lt;&gt;"")*(평가!C8:P8&lt;&gt;"")),"")</f>
        <v/>
      </c>
      <c r="E13" s="19">
        <f>IFERROR(SUMPRODUCT((평가!C14:P14&lt;&gt;"")*(평가!C9:P9&lt;&gt;"")*(평가!C14:P14=평가!C9:P9))/SUMPRODUCT((평가!C14:P14&lt;&gt;"")*(평가!C9:P9&lt;&gt;"")),"")</f>
        <v/>
      </c>
      <c r="F13" s="19">
        <f>IFERROR(SUMPRODUCT((평가!C14:P14&lt;&gt;"")*(평가!C10:P10&lt;&gt;"")*(평가!C14:P14=평가!C10:P10))/SUMPRODUCT((평가!C14:P14&lt;&gt;"")*(평가!C10:P10&lt;&gt;"")),"")</f>
        <v/>
      </c>
      <c r="G13" s="19">
        <f>IFERROR(SUMPRODUCT((평가!C14:P14&lt;&gt;"")*(평가!C11:P11&lt;&gt;"")*(평가!C14:P14=평가!C11:P11))/SUMPRODUCT((평가!C14:P14&lt;&gt;"")*(평가!C11:P11&lt;&gt;"")),"")</f>
        <v/>
      </c>
      <c r="H13" s="19">
        <f>IFERROR(SUMPRODUCT((평가!C14:P14&lt;&gt;"")*(평가!C12:P12&lt;&gt;"")*(평가!C14:P14=평가!C12:P12))/SUMPRODUCT((평가!C14:P14&lt;&gt;"")*(평가!C12:P12&lt;&gt;"")),"")</f>
        <v/>
      </c>
      <c r="I13" s="19">
        <f>IFERROR(SUMPRODUCT((평가!C14:P14&lt;&gt;"")*(평가!C13:P13&lt;&gt;"")*(평가!C14:P14=평가!C13:P13))/SUMPRODUCT((평가!C14:P14&lt;&gt;"")*(평가!C13:P13&lt;&gt;"")),"")</f>
        <v/>
      </c>
      <c r="J13" s="18">
        <f>"-"</f>
        <v/>
      </c>
      <c r="K13" s="19">
        <f>IFERROR(SUMPRODUCT((평가!C14:P14&lt;&gt;"")*(평가!C15:P15&lt;&gt;"")*(평가!C14:P14=평가!C15:P15))/SUMPRODUCT((평가!C14:P14&lt;&gt;"")*(평가!C15:P15&lt;&gt;"")),"")</f>
        <v/>
      </c>
      <c r="L13" s="19">
        <f>IFERROR(SUMPRODUCT((평가!C14:P14&lt;&gt;"")*(평가!C16:P16&lt;&gt;"")*(평가!C14:P14=평가!C16:P16))/SUMPRODUCT((평가!C14:P14&lt;&gt;"")*(평가!C16:P16&lt;&gt;"")),"")</f>
        <v/>
      </c>
      <c r="M13" s="19">
        <f>IFERROR(SUMPRODUCT((평가!C14:P14&lt;&gt;"")*(평가!C17:P17&lt;&gt;"")*(평가!C14:P14=평가!C17:P17))/SUMPRODUCT((평가!C14:P14&lt;&gt;"")*(평가!C17:P17&lt;&gt;"")),"")</f>
        <v/>
      </c>
      <c r="N13" s="19">
        <f>IFERROR(SUMPRODUCT((평가!C14:P14&lt;&gt;"")*(평가!C18:P18&lt;&gt;"")*(평가!C14:P14=평가!C18:P18))/SUMPRODUCT((평가!C14:P14&lt;&gt;"")*(평가!C18:P18&lt;&gt;"")),"")</f>
        <v/>
      </c>
      <c r="O13" s="19">
        <f>IFERROR(SUMPRODUCT((평가!C14:P14&lt;&gt;"")*(평가!C19:P19&lt;&gt;"")*(평가!C14:P14=평가!C19:P19))/SUMPRODUCT((평가!C14:P14&lt;&gt;"")*(평가!C19:P19&lt;&gt;"")),"")</f>
        <v/>
      </c>
      <c r="P13" s="19">
        <f>IFERROR(SUMPRODUCT((평가!C14:P14&lt;&gt;"")*(평가!C20:P20&lt;&gt;"")*(평가!C14:P14=평가!C20:P20))/SUMPRODUCT((평가!C14:P14&lt;&gt;"")*(평가!C20:P20&lt;&gt;"")),"")</f>
        <v/>
      </c>
      <c r="Q13" s="19">
        <f>IFERROR(SUMPRODUCT((평가!C14:P14&lt;&gt;"")*(평가!C21:P21&lt;&gt;"")*(평가!C14:P14=평가!C21:P21))/SUMPRODUCT((평가!C14:P14&lt;&gt;"")*(평가!C21:P21&lt;&gt;"")),"")</f>
        <v/>
      </c>
      <c r="R13" s="19">
        <f>IFERROR(SUMPRODUCT((평가!C14:P14&lt;&gt;"")*(평가!C22:P22&lt;&gt;"")*(평가!C14:P14=평가!C22:P22))/SUMPRODUCT((평가!C14:P14&lt;&gt;"")*(평가!C22:P22&lt;&gt;"")),"")</f>
        <v/>
      </c>
      <c r="S13" s="19">
        <f>IFERROR(SUMPRODUCT((평가!C14:P14&lt;&gt;"")*(평가!C23:P23&lt;&gt;"")*(평가!C14:P14=평가!C23:P23))/SUMPRODUCT((평가!C14:P14&lt;&gt;"")*(평가!C23:P23&lt;&gt;"")),"")</f>
        <v/>
      </c>
      <c r="T13" s="19">
        <f>IFERROR(SUMPRODUCT((평가!C14:P14&lt;&gt;"")*(평가!C24:P24&lt;&gt;"")*(평가!C14:P14=평가!C24:P24))/SUMPRODUCT((평가!C14:P14&lt;&gt;"")*(평가!C24:P24&lt;&gt;"")),"")</f>
        <v/>
      </c>
      <c r="U13" s="19">
        <f>IFERROR(SUMPRODUCT((평가!C14:P14&lt;&gt;"")*(평가!C25:P25&lt;&gt;"")*(평가!C14:P14=평가!C25:P25))/SUMPRODUCT((평가!C14:P14&lt;&gt;"")*(평가!C25:P25&lt;&gt;"")),"")</f>
        <v/>
      </c>
      <c r="V13" s="19">
        <f>IFERROR(SUMPRODUCT((평가!C14:P14&lt;&gt;"")*(평가!C26:P26&lt;&gt;"")*(평가!C14:P14=평가!C26:P26))/SUMPRODUCT((평가!C14:P14&lt;&gt;"")*(평가!C26:P26&lt;&gt;"")),"")</f>
        <v/>
      </c>
      <c r="W13" s="19">
        <f>IFERROR(SUMPRODUCT((평가!C14:P14&lt;&gt;"")*(평가!C27:P27&lt;&gt;"")*(평가!C14:P14=평가!C27:P27))/SUMPRODUCT((평가!C14:P14&lt;&gt;"")*(평가!C27:P27&lt;&gt;"")),"")</f>
        <v/>
      </c>
      <c r="X13" s="19">
        <f>IFERROR(SUMPRODUCT((평가!C14:P14&lt;&gt;"")*(평가!C28:P28&lt;&gt;"")*(평가!C14:P14=평가!C28:P28))/SUMPRODUCT((평가!C14:P14&lt;&gt;"")*(평가!C28:P28&lt;&gt;"")),"")</f>
        <v/>
      </c>
      <c r="Y13" s="19">
        <f>IFERROR(SUMPRODUCT((평가!C14:P14&lt;&gt;"")*(평가!C29:P29&lt;&gt;"")*(평가!C14:P14=평가!C29:P29))/SUMPRODUCT((평가!C14:P14&lt;&gt;"")*(평가!C29:P29&lt;&gt;"")),"")</f>
        <v/>
      </c>
    </row>
    <row r="14" ht="18" customHeight="1">
      <c r="A14" s="14" t="inlineStr">
        <is>
          <t>수학과</t>
        </is>
      </c>
      <c r="B14" s="19">
        <f>IFERROR(SUMPRODUCT((평가!C15:P15&lt;&gt;"")*(평가!C6:P6&lt;&gt;"")*(평가!C15:P15=평가!C6:P6))/SUMPRODUCT((평가!C15:P15&lt;&gt;"")*(평가!C6:P6&lt;&gt;"")),"")</f>
        <v/>
      </c>
      <c r="C14" s="19">
        <f>IFERROR(SUMPRODUCT((평가!C15:P15&lt;&gt;"")*(평가!C7:P7&lt;&gt;"")*(평가!C15:P15=평가!C7:P7))/SUMPRODUCT((평가!C15:P15&lt;&gt;"")*(평가!C7:P7&lt;&gt;"")),"")</f>
        <v/>
      </c>
      <c r="D14" s="19">
        <f>IFERROR(SUMPRODUCT((평가!C15:P15&lt;&gt;"")*(평가!C8:P8&lt;&gt;"")*(평가!C15:P15=평가!C8:P8))/SUMPRODUCT((평가!C15:P15&lt;&gt;"")*(평가!C8:P8&lt;&gt;"")),"")</f>
        <v/>
      </c>
      <c r="E14" s="19">
        <f>IFERROR(SUMPRODUCT((평가!C15:P15&lt;&gt;"")*(평가!C9:P9&lt;&gt;"")*(평가!C15:P15=평가!C9:P9))/SUMPRODUCT((평가!C15:P15&lt;&gt;"")*(평가!C9:P9&lt;&gt;"")),"")</f>
        <v/>
      </c>
      <c r="F14" s="19">
        <f>IFERROR(SUMPRODUCT((평가!C15:P15&lt;&gt;"")*(평가!C10:P10&lt;&gt;"")*(평가!C15:P15=평가!C10:P10))/SUMPRODUCT((평가!C15:P15&lt;&gt;"")*(평가!C10:P10&lt;&gt;"")),"")</f>
        <v/>
      </c>
      <c r="G14" s="19">
        <f>IFERROR(SUMPRODUCT((평가!C15:P15&lt;&gt;"")*(평가!C11:P11&lt;&gt;"")*(평가!C15:P15=평가!C11:P11))/SUMPRODUCT((평가!C15:P15&lt;&gt;"")*(평가!C11:P11&lt;&gt;"")),"")</f>
        <v/>
      </c>
      <c r="H14" s="19">
        <f>IFERROR(SUMPRODUCT((평가!C15:P15&lt;&gt;"")*(평가!C12:P12&lt;&gt;"")*(평가!C15:P15=평가!C12:P12))/SUMPRODUCT((평가!C15:P15&lt;&gt;"")*(평가!C12:P12&lt;&gt;"")),"")</f>
        <v/>
      </c>
      <c r="I14" s="19">
        <f>IFERROR(SUMPRODUCT((평가!C15:P15&lt;&gt;"")*(평가!C13:P13&lt;&gt;"")*(평가!C15:P15=평가!C13:P13))/SUMPRODUCT((평가!C15:P15&lt;&gt;"")*(평가!C13:P13&lt;&gt;"")),"")</f>
        <v/>
      </c>
      <c r="J14" s="19">
        <f>IFERROR(SUMPRODUCT((평가!C15:P15&lt;&gt;"")*(평가!C14:P14&lt;&gt;"")*(평가!C15:P15=평가!C14:P14))/SUMPRODUCT((평가!C15:P15&lt;&gt;"")*(평가!C14:P14&lt;&gt;"")),"")</f>
        <v/>
      </c>
      <c r="K14" s="18">
        <f>"-"</f>
        <v/>
      </c>
      <c r="L14" s="19">
        <f>IFERROR(SUMPRODUCT((평가!C15:P15&lt;&gt;"")*(평가!C16:P16&lt;&gt;"")*(평가!C15:P15=평가!C16:P16))/SUMPRODUCT((평가!C15:P15&lt;&gt;"")*(평가!C16:P16&lt;&gt;"")),"")</f>
        <v/>
      </c>
      <c r="M14" s="19">
        <f>IFERROR(SUMPRODUCT((평가!C15:P15&lt;&gt;"")*(평가!C17:P17&lt;&gt;"")*(평가!C15:P15=평가!C17:P17))/SUMPRODUCT((평가!C15:P15&lt;&gt;"")*(평가!C17:P17&lt;&gt;"")),"")</f>
        <v/>
      </c>
      <c r="N14" s="19">
        <f>IFERROR(SUMPRODUCT((평가!C15:P15&lt;&gt;"")*(평가!C18:P18&lt;&gt;"")*(평가!C15:P15=평가!C18:P18))/SUMPRODUCT((평가!C15:P15&lt;&gt;"")*(평가!C18:P18&lt;&gt;"")),"")</f>
        <v/>
      </c>
      <c r="O14" s="19">
        <f>IFERROR(SUMPRODUCT((평가!C15:P15&lt;&gt;"")*(평가!C19:P19&lt;&gt;"")*(평가!C15:P15=평가!C19:P19))/SUMPRODUCT((평가!C15:P15&lt;&gt;"")*(평가!C19:P19&lt;&gt;"")),"")</f>
        <v/>
      </c>
      <c r="P14" s="19">
        <f>IFERROR(SUMPRODUCT((평가!C15:P15&lt;&gt;"")*(평가!C20:P20&lt;&gt;"")*(평가!C15:P15=평가!C20:P20))/SUMPRODUCT((평가!C15:P15&lt;&gt;"")*(평가!C20:P20&lt;&gt;"")),"")</f>
        <v/>
      </c>
      <c r="Q14" s="19">
        <f>IFERROR(SUMPRODUCT((평가!C15:P15&lt;&gt;"")*(평가!C21:P21&lt;&gt;"")*(평가!C15:P15=평가!C21:P21))/SUMPRODUCT((평가!C15:P15&lt;&gt;"")*(평가!C21:P21&lt;&gt;"")),"")</f>
        <v/>
      </c>
      <c r="R14" s="19">
        <f>IFERROR(SUMPRODUCT((평가!C15:P15&lt;&gt;"")*(평가!C22:P22&lt;&gt;"")*(평가!C15:P15=평가!C22:P22))/SUMPRODUCT((평가!C15:P15&lt;&gt;"")*(평가!C22:P22&lt;&gt;"")),"")</f>
        <v/>
      </c>
      <c r="S14" s="19">
        <f>IFERROR(SUMPRODUCT((평가!C15:P15&lt;&gt;"")*(평가!C23:P23&lt;&gt;"")*(평가!C15:P15=평가!C23:P23))/SUMPRODUCT((평가!C15:P15&lt;&gt;"")*(평가!C23:P23&lt;&gt;"")),"")</f>
        <v/>
      </c>
      <c r="T14" s="19">
        <f>IFERROR(SUMPRODUCT((평가!C15:P15&lt;&gt;"")*(평가!C24:P24&lt;&gt;"")*(평가!C15:P15=평가!C24:P24))/SUMPRODUCT((평가!C15:P15&lt;&gt;"")*(평가!C24:P24&lt;&gt;"")),"")</f>
        <v/>
      </c>
      <c r="U14" s="19">
        <f>IFERROR(SUMPRODUCT((평가!C15:P15&lt;&gt;"")*(평가!C25:P25&lt;&gt;"")*(평가!C15:P15=평가!C25:P25))/SUMPRODUCT((평가!C15:P15&lt;&gt;"")*(평가!C25:P25&lt;&gt;"")),"")</f>
        <v/>
      </c>
      <c r="V14" s="19">
        <f>IFERROR(SUMPRODUCT((평가!C15:P15&lt;&gt;"")*(평가!C26:P26&lt;&gt;"")*(평가!C15:P15=평가!C26:P26))/SUMPRODUCT((평가!C15:P15&lt;&gt;"")*(평가!C26:P26&lt;&gt;"")),"")</f>
        <v/>
      </c>
      <c r="W14" s="19">
        <f>IFERROR(SUMPRODUCT((평가!C15:P15&lt;&gt;"")*(평가!C27:P27&lt;&gt;"")*(평가!C15:P15=평가!C27:P27))/SUMPRODUCT((평가!C15:P15&lt;&gt;"")*(평가!C27:P27&lt;&gt;"")),"")</f>
        <v/>
      </c>
      <c r="X14" s="19">
        <f>IFERROR(SUMPRODUCT((평가!C15:P15&lt;&gt;"")*(평가!C28:P28&lt;&gt;"")*(평가!C15:P15=평가!C28:P28))/SUMPRODUCT((평가!C15:P15&lt;&gt;"")*(평가!C28:P28&lt;&gt;"")),"")</f>
        <v/>
      </c>
      <c r="Y14" s="19">
        <f>IFERROR(SUMPRODUCT((평가!C15:P15&lt;&gt;"")*(평가!C29:P29&lt;&gt;"")*(평가!C15:P15=평가!C29:P29))/SUMPRODUCT((평가!C15:P15&lt;&gt;"")*(평가!C29:P29&lt;&gt;"")),"")</f>
        <v/>
      </c>
    </row>
    <row r="15" ht="18" customHeight="1">
      <c r="A15" s="14" t="inlineStr">
        <is>
          <t>경영학과</t>
        </is>
      </c>
      <c r="B15" s="19">
        <f>IFERROR(SUMPRODUCT((평가!C16:P16&lt;&gt;"")*(평가!C6:P6&lt;&gt;"")*(평가!C16:P16=평가!C6:P6))/SUMPRODUCT((평가!C16:P16&lt;&gt;"")*(평가!C6:P6&lt;&gt;"")),"")</f>
        <v/>
      </c>
      <c r="C15" s="19">
        <f>IFERROR(SUMPRODUCT((평가!C16:P16&lt;&gt;"")*(평가!C7:P7&lt;&gt;"")*(평가!C16:P16=평가!C7:P7))/SUMPRODUCT((평가!C16:P16&lt;&gt;"")*(평가!C7:P7&lt;&gt;"")),"")</f>
        <v/>
      </c>
      <c r="D15" s="19">
        <f>IFERROR(SUMPRODUCT((평가!C16:P16&lt;&gt;"")*(평가!C8:P8&lt;&gt;"")*(평가!C16:P16=평가!C8:P8))/SUMPRODUCT((평가!C16:P16&lt;&gt;"")*(평가!C8:P8&lt;&gt;"")),"")</f>
        <v/>
      </c>
      <c r="E15" s="19">
        <f>IFERROR(SUMPRODUCT((평가!C16:P16&lt;&gt;"")*(평가!C9:P9&lt;&gt;"")*(평가!C16:P16=평가!C9:P9))/SUMPRODUCT((평가!C16:P16&lt;&gt;"")*(평가!C9:P9&lt;&gt;"")),"")</f>
        <v/>
      </c>
      <c r="F15" s="19">
        <f>IFERROR(SUMPRODUCT((평가!C16:P16&lt;&gt;"")*(평가!C10:P10&lt;&gt;"")*(평가!C16:P16=평가!C10:P10))/SUMPRODUCT((평가!C16:P16&lt;&gt;"")*(평가!C10:P10&lt;&gt;"")),"")</f>
        <v/>
      </c>
      <c r="G15" s="19">
        <f>IFERROR(SUMPRODUCT((평가!C16:P16&lt;&gt;"")*(평가!C11:P11&lt;&gt;"")*(평가!C16:P16=평가!C11:P11))/SUMPRODUCT((평가!C16:P16&lt;&gt;"")*(평가!C11:P11&lt;&gt;"")),"")</f>
        <v/>
      </c>
      <c r="H15" s="19">
        <f>IFERROR(SUMPRODUCT((평가!C16:P16&lt;&gt;"")*(평가!C12:P12&lt;&gt;"")*(평가!C16:P16=평가!C12:P12))/SUMPRODUCT((평가!C16:P16&lt;&gt;"")*(평가!C12:P12&lt;&gt;"")),"")</f>
        <v/>
      </c>
      <c r="I15" s="19">
        <f>IFERROR(SUMPRODUCT((평가!C16:P16&lt;&gt;"")*(평가!C13:P13&lt;&gt;"")*(평가!C16:P16=평가!C13:P13))/SUMPRODUCT((평가!C16:P16&lt;&gt;"")*(평가!C13:P13&lt;&gt;"")),"")</f>
        <v/>
      </c>
      <c r="J15" s="19">
        <f>IFERROR(SUMPRODUCT((평가!C16:P16&lt;&gt;"")*(평가!C14:P14&lt;&gt;"")*(평가!C16:P16=평가!C14:P14))/SUMPRODUCT((평가!C16:P16&lt;&gt;"")*(평가!C14:P14&lt;&gt;"")),"")</f>
        <v/>
      </c>
      <c r="K15" s="19">
        <f>IFERROR(SUMPRODUCT((평가!C16:P16&lt;&gt;"")*(평가!C15:P15&lt;&gt;"")*(평가!C16:P16=평가!C15:P15))/SUMPRODUCT((평가!C16:P16&lt;&gt;"")*(평가!C15:P15&lt;&gt;"")),"")</f>
        <v/>
      </c>
      <c r="L15" s="18">
        <f>"-"</f>
        <v/>
      </c>
      <c r="M15" s="19">
        <f>IFERROR(SUMPRODUCT((평가!C16:P16&lt;&gt;"")*(평가!C17:P17&lt;&gt;"")*(평가!C16:P16=평가!C17:P17))/SUMPRODUCT((평가!C16:P16&lt;&gt;"")*(평가!C17:P17&lt;&gt;"")),"")</f>
        <v/>
      </c>
      <c r="N15" s="19">
        <f>IFERROR(SUMPRODUCT((평가!C16:P16&lt;&gt;"")*(평가!C18:P18&lt;&gt;"")*(평가!C16:P16=평가!C18:P18))/SUMPRODUCT((평가!C16:P16&lt;&gt;"")*(평가!C18:P18&lt;&gt;"")),"")</f>
        <v/>
      </c>
      <c r="O15" s="19">
        <f>IFERROR(SUMPRODUCT((평가!C16:P16&lt;&gt;"")*(평가!C19:P19&lt;&gt;"")*(평가!C16:P16=평가!C19:P19))/SUMPRODUCT((평가!C16:P16&lt;&gt;"")*(평가!C19:P19&lt;&gt;"")),"")</f>
        <v/>
      </c>
      <c r="P15" s="19">
        <f>IFERROR(SUMPRODUCT((평가!C16:P16&lt;&gt;"")*(평가!C20:P20&lt;&gt;"")*(평가!C16:P16=평가!C20:P20))/SUMPRODUCT((평가!C16:P16&lt;&gt;"")*(평가!C20:P20&lt;&gt;"")),"")</f>
        <v/>
      </c>
      <c r="Q15" s="19">
        <f>IFERROR(SUMPRODUCT((평가!C16:P16&lt;&gt;"")*(평가!C21:P21&lt;&gt;"")*(평가!C16:P16=평가!C21:P21))/SUMPRODUCT((평가!C16:P16&lt;&gt;"")*(평가!C21:P21&lt;&gt;"")),"")</f>
        <v/>
      </c>
      <c r="R15" s="19">
        <f>IFERROR(SUMPRODUCT((평가!C16:P16&lt;&gt;"")*(평가!C22:P22&lt;&gt;"")*(평가!C16:P16=평가!C22:P22))/SUMPRODUCT((평가!C16:P16&lt;&gt;"")*(평가!C22:P22&lt;&gt;"")),"")</f>
        <v/>
      </c>
      <c r="S15" s="19">
        <f>IFERROR(SUMPRODUCT((평가!C16:P16&lt;&gt;"")*(평가!C23:P23&lt;&gt;"")*(평가!C16:P16=평가!C23:P23))/SUMPRODUCT((평가!C16:P16&lt;&gt;"")*(평가!C23:P23&lt;&gt;"")),"")</f>
        <v/>
      </c>
      <c r="T15" s="19">
        <f>IFERROR(SUMPRODUCT((평가!C16:P16&lt;&gt;"")*(평가!C24:P24&lt;&gt;"")*(평가!C16:P16=평가!C24:P24))/SUMPRODUCT((평가!C16:P16&lt;&gt;"")*(평가!C24:P24&lt;&gt;"")),"")</f>
        <v/>
      </c>
      <c r="U15" s="19">
        <f>IFERROR(SUMPRODUCT((평가!C16:P16&lt;&gt;"")*(평가!C25:P25&lt;&gt;"")*(평가!C16:P16=평가!C25:P25))/SUMPRODUCT((평가!C16:P16&lt;&gt;"")*(평가!C25:P25&lt;&gt;"")),"")</f>
        <v/>
      </c>
      <c r="V15" s="19">
        <f>IFERROR(SUMPRODUCT((평가!C16:P16&lt;&gt;"")*(평가!C26:P26&lt;&gt;"")*(평가!C16:P16=평가!C26:P26))/SUMPRODUCT((평가!C16:P16&lt;&gt;"")*(평가!C26:P26&lt;&gt;"")),"")</f>
        <v/>
      </c>
      <c r="W15" s="19">
        <f>IFERROR(SUMPRODUCT((평가!C16:P16&lt;&gt;"")*(평가!C27:P27&lt;&gt;"")*(평가!C16:P16=평가!C27:P27))/SUMPRODUCT((평가!C16:P16&lt;&gt;"")*(평가!C27:P27&lt;&gt;"")),"")</f>
        <v/>
      </c>
      <c r="X15" s="19">
        <f>IFERROR(SUMPRODUCT((평가!C16:P16&lt;&gt;"")*(평가!C28:P28&lt;&gt;"")*(평가!C16:P16=평가!C28:P28))/SUMPRODUCT((평가!C16:P16&lt;&gt;"")*(평가!C28:P28&lt;&gt;"")),"")</f>
        <v/>
      </c>
      <c r="Y15" s="19">
        <f>IFERROR(SUMPRODUCT((평가!C16:P16&lt;&gt;"")*(평가!C29:P29&lt;&gt;"")*(평가!C16:P16=평가!C29:P29))/SUMPRODUCT((평가!C16:P16&lt;&gt;"")*(평가!C29:P29&lt;&gt;"")),"")</f>
        <v/>
      </c>
    </row>
    <row r="16" ht="18" customHeight="1">
      <c r="A16" s="14" t="inlineStr">
        <is>
          <t>약학과</t>
        </is>
      </c>
      <c r="B16" s="19">
        <f>IFERROR(SUMPRODUCT((평가!C17:P17&lt;&gt;"")*(평가!C6:P6&lt;&gt;"")*(평가!C17:P17=평가!C6:P6))/SUMPRODUCT((평가!C17:P17&lt;&gt;"")*(평가!C6:P6&lt;&gt;"")),"")</f>
        <v/>
      </c>
      <c r="C16" s="19">
        <f>IFERROR(SUMPRODUCT((평가!C17:P17&lt;&gt;"")*(평가!C7:P7&lt;&gt;"")*(평가!C17:P17=평가!C7:P7))/SUMPRODUCT((평가!C17:P17&lt;&gt;"")*(평가!C7:P7&lt;&gt;"")),"")</f>
        <v/>
      </c>
      <c r="D16" s="19">
        <f>IFERROR(SUMPRODUCT((평가!C17:P17&lt;&gt;"")*(평가!C8:P8&lt;&gt;"")*(평가!C17:P17=평가!C8:P8))/SUMPRODUCT((평가!C17:P17&lt;&gt;"")*(평가!C8:P8&lt;&gt;"")),"")</f>
        <v/>
      </c>
      <c r="E16" s="19">
        <f>IFERROR(SUMPRODUCT((평가!C17:P17&lt;&gt;"")*(평가!C9:P9&lt;&gt;"")*(평가!C17:P17=평가!C9:P9))/SUMPRODUCT((평가!C17:P17&lt;&gt;"")*(평가!C9:P9&lt;&gt;"")),"")</f>
        <v/>
      </c>
      <c r="F16" s="19">
        <f>IFERROR(SUMPRODUCT((평가!C17:P17&lt;&gt;"")*(평가!C10:P10&lt;&gt;"")*(평가!C17:P17=평가!C10:P10))/SUMPRODUCT((평가!C17:P17&lt;&gt;"")*(평가!C10:P10&lt;&gt;"")),"")</f>
        <v/>
      </c>
      <c r="G16" s="19">
        <f>IFERROR(SUMPRODUCT((평가!C17:P17&lt;&gt;"")*(평가!C11:P11&lt;&gt;"")*(평가!C17:P17=평가!C11:P11))/SUMPRODUCT((평가!C17:P17&lt;&gt;"")*(평가!C11:P11&lt;&gt;"")),"")</f>
        <v/>
      </c>
      <c r="H16" s="19">
        <f>IFERROR(SUMPRODUCT((평가!C17:P17&lt;&gt;"")*(평가!C12:P12&lt;&gt;"")*(평가!C17:P17=평가!C12:P12))/SUMPRODUCT((평가!C17:P17&lt;&gt;"")*(평가!C12:P12&lt;&gt;"")),"")</f>
        <v/>
      </c>
      <c r="I16" s="19">
        <f>IFERROR(SUMPRODUCT((평가!C17:P17&lt;&gt;"")*(평가!C13:P13&lt;&gt;"")*(평가!C17:P17=평가!C13:P13))/SUMPRODUCT((평가!C17:P17&lt;&gt;"")*(평가!C13:P13&lt;&gt;"")),"")</f>
        <v/>
      </c>
      <c r="J16" s="19">
        <f>IFERROR(SUMPRODUCT((평가!C17:P17&lt;&gt;"")*(평가!C14:P14&lt;&gt;"")*(평가!C17:P17=평가!C14:P14))/SUMPRODUCT((평가!C17:P17&lt;&gt;"")*(평가!C14:P14&lt;&gt;"")),"")</f>
        <v/>
      </c>
      <c r="K16" s="19">
        <f>IFERROR(SUMPRODUCT((평가!C17:P17&lt;&gt;"")*(평가!C15:P15&lt;&gt;"")*(평가!C17:P17=평가!C15:P15))/SUMPRODUCT((평가!C17:P17&lt;&gt;"")*(평가!C15:P15&lt;&gt;"")),"")</f>
        <v/>
      </c>
      <c r="L16" s="19">
        <f>IFERROR(SUMPRODUCT((평가!C17:P17&lt;&gt;"")*(평가!C16:P16&lt;&gt;"")*(평가!C17:P17=평가!C16:P16))/SUMPRODUCT((평가!C17:P17&lt;&gt;"")*(평가!C16:P16&lt;&gt;"")),"")</f>
        <v/>
      </c>
      <c r="M16" s="18">
        <f>"-"</f>
        <v/>
      </c>
      <c r="N16" s="19">
        <f>IFERROR(SUMPRODUCT((평가!C17:P17&lt;&gt;"")*(평가!C18:P18&lt;&gt;"")*(평가!C17:P17=평가!C18:P18))/SUMPRODUCT((평가!C17:P17&lt;&gt;"")*(평가!C18:P18&lt;&gt;"")),"")</f>
        <v/>
      </c>
      <c r="O16" s="19">
        <f>IFERROR(SUMPRODUCT((평가!C17:P17&lt;&gt;"")*(평가!C19:P19&lt;&gt;"")*(평가!C17:P17=평가!C19:P19))/SUMPRODUCT((평가!C17:P17&lt;&gt;"")*(평가!C19:P19&lt;&gt;"")),"")</f>
        <v/>
      </c>
      <c r="P16" s="19">
        <f>IFERROR(SUMPRODUCT((평가!C17:P17&lt;&gt;"")*(평가!C20:P20&lt;&gt;"")*(평가!C17:P17=평가!C20:P20))/SUMPRODUCT((평가!C17:P17&lt;&gt;"")*(평가!C20:P20&lt;&gt;"")),"")</f>
        <v/>
      </c>
      <c r="Q16" s="19">
        <f>IFERROR(SUMPRODUCT((평가!C17:P17&lt;&gt;"")*(평가!C21:P21&lt;&gt;"")*(평가!C17:P17=평가!C21:P21))/SUMPRODUCT((평가!C17:P17&lt;&gt;"")*(평가!C21:P21&lt;&gt;"")),"")</f>
        <v/>
      </c>
      <c r="R16" s="19">
        <f>IFERROR(SUMPRODUCT((평가!C17:P17&lt;&gt;"")*(평가!C22:P22&lt;&gt;"")*(평가!C17:P17=평가!C22:P22))/SUMPRODUCT((평가!C17:P17&lt;&gt;"")*(평가!C22:P22&lt;&gt;"")),"")</f>
        <v/>
      </c>
      <c r="S16" s="19">
        <f>IFERROR(SUMPRODUCT((평가!C17:P17&lt;&gt;"")*(평가!C23:P23&lt;&gt;"")*(평가!C17:P17=평가!C23:P23))/SUMPRODUCT((평가!C17:P17&lt;&gt;"")*(평가!C23:P23&lt;&gt;"")),"")</f>
        <v/>
      </c>
      <c r="T16" s="19">
        <f>IFERROR(SUMPRODUCT((평가!C17:P17&lt;&gt;"")*(평가!C24:P24&lt;&gt;"")*(평가!C17:P17=평가!C24:P24))/SUMPRODUCT((평가!C17:P17&lt;&gt;"")*(평가!C24:P24&lt;&gt;"")),"")</f>
        <v/>
      </c>
      <c r="U16" s="19">
        <f>IFERROR(SUMPRODUCT((평가!C17:P17&lt;&gt;"")*(평가!C25:P25&lt;&gt;"")*(평가!C17:P17=평가!C25:P25))/SUMPRODUCT((평가!C17:P17&lt;&gt;"")*(평가!C25:P25&lt;&gt;"")),"")</f>
        <v/>
      </c>
      <c r="V16" s="19">
        <f>IFERROR(SUMPRODUCT((평가!C17:P17&lt;&gt;"")*(평가!C26:P26&lt;&gt;"")*(평가!C17:P17=평가!C26:P26))/SUMPRODUCT((평가!C17:P17&lt;&gt;"")*(평가!C26:P26&lt;&gt;"")),"")</f>
        <v/>
      </c>
      <c r="W16" s="19">
        <f>IFERROR(SUMPRODUCT((평가!C17:P17&lt;&gt;"")*(평가!C27:P27&lt;&gt;"")*(평가!C17:P17=평가!C27:P27))/SUMPRODUCT((평가!C17:P17&lt;&gt;"")*(평가!C27:P27&lt;&gt;"")),"")</f>
        <v/>
      </c>
      <c r="X16" s="19">
        <f>IFERROR(SUMPRODUCT((평가!C17:P17&lt;&gt;"")*(평가!C28:P28&lt;&gt;"")*(평가!C17:P17=평가!C28:P28))/SUMPRODUCT((평가!C17:P17&lt;&gt;"")*(평가!C28:P28&lt;&gt;"")),"")</f>
        <v/>
      </c>
      <c r="Y16" s="19">
        <f>IFERROR(SUMPRODUCT((평가!C17:P17&lt;&gt;"")*(평가!C29:P29&lt;&gt;"")*(평가!C17:P17=평가!C29:P29))/SUMPRODUCT((평가!C17:P17&lt;&gt;"")*(평가!C29:P29&lt;&gt;"")),"")</f>
        <v/>
      </c>
    </row>
    <row r="17" ht="18" customHeight="1">
      <c r="A17" s="14" t="inlineStr">
        <is>
          <t>사회학과</t>
        </is>
      </c>
      <c r="B17" s="19">
        <f>IFERROR(SUMPRODUCT((평가!C18:P18&lt;&gt;"")*(평가!C6:P6&lt;&gt;"")*(평가!C18:P18=평가!C6:P6))/SUMPRODUCT((평가!C18:P18&lt;&gt;"")*(평가!C6:P6&lt;&gt;"")),"")</f>
        <v/>
      </c>
      <c r="C17" s="19">
        <f>IFERROR(SUMPRODUCT((평가!C18:P18&lt;&gt;"")*(평가!C7:P7&lt;&gt;"")*(평가!C18:P18=평가!C7:P7))/SUMPRODUCT((평가!C18:P18&lt;&gt;"")*(평가!C7:P7&lt;&gt;"")),"")</f>
        <v/>
      </c>
      <c r="D17" s="19">
        <f>IFERROR(SUMPRODUCT((평가!C18:P18&lt;&gt;"")*(평가!C8:P8&lt;&gt;"")*(평가!C18:P18=평가!C8:P8))/SUMPRODUCT((평가!C18:P18&lt;&gt;"")*(평가!C8:P8&lt;&gt;"")),"")</f>
        <v/>
      </c>
      <c r="E17" s="19">
        <f>IFERROR(SUMPRODUCT((평가!C18:P18&lt;&gt;"")*(평가!C9:P9&lt;&gt;"")*(평가!C18:P18=평가!C9:P9))/SUMPRODUCT((평가!C18:P18&lt;&gt;"")*(평가!C9:P9&lt;&gt;"")),"")</f>
        <v/>
      </c>
      <c r="F17" s="19">
        <f>IFERROR(SUMPRODUCT((평가!C18:P18&lt;&gt;"")*(평가!C10:P10&lt;&gt;"")*(평가!C18:P18=평가!C10:P10))/SUMPRODUCT((평가!C18:P18&lt;&gt;"")*(평가!C10:P10&lt;&gt;"")),"")</f>
        <v/>
      </c>
      <c r="G17" s="19">
        <f>IFERROR(SUMPRODUCT((평가!C18:P18&lt;&gt;"")*(평가!C11:P11&lt;&gt;"")*(평가!C18:P18=평가!C11:P11))/SUMPRODUCT((평가!C18:P18&lt;&gt;"")*(평가!C11:P11&lt;&gt;"")),"")</f>
        <v/>
      </c>
      <c r="H17" s="19">
        <f>IFERROR(SUMPRODUCT((평가!C18:P18&lt;&gt;"")*(평가!C12:P12&lt;&gt;"")*(평가!C18:P18=평가!C12:P12))/SUMPRODUCT((평가!C18:P18&lt;&gt;"")*(평가!C12:P12&lt;&gt;"")),"")</f>
        <v/>
      </c>
      <c r="I17" s="19">
        <f>IFERROR(SUMPRODUCT((평가!C18:P18&lt;&gt;"")*(평가!C13:P13&lt;&gt;"")*(평가!C18:P18=평가!C13:P13))/SUMPRODUCT((평가!C18:P18&lt;&gt;"")*(평가!C13:P13&lt;&gt;"")),"")</f>
        <v/>
      </c>
      <c r="J17" s="19">
        <f>IFERROR(SUMPRODUCT((평가!C18:P18&lt;&gt;"")*(평가!C14:P14&lt;&gt;"")*(평가!C18:P18=평가!C14:P14))/SUMPRODUCT((평가!C18:P18&lt;&gt;"")*(평가!C14:P14&lt;&gt;"")),"")</f>
        <v/>
      </c>
      <c r="K17" s="19">
        <f>IFERROR(SUMPRODUCT((평가!C18:P18&lt;&gt;"")*(평가!C15:P15&lt;&gt;"")*(평가!C18:P18=평가!C15:P15))/SUMPRODUCT((평가!C18:P18&lt;&gt;"")*(평가!C15:P15&lt;&gt;"")),"")</f>
        <v/>
      </c>
      <c r="L17" s="19">
        <f>IFERROR(SUMPRODUCT((평가!C18:P18&lt;&gt;"")*(평가!C16:P16&lt;&gt;"")*(평가!C18:P18=평가!C16:P16))/SUMPRODUCT((평가!C18:P18&lt;&gt;"")*(평가!C16:P16&lt;&gt;"")),"")</f>
        <v/>
      </c>
      <c r="M17" s="19">
        <f>IFERROR(SUMPRODUCT((평가!C18:P18&lt;&gt;"")*(평가!C17:P17&lt;&gt;"")*(평가!C18:P18=평가!C17:P17))/SUMPRODUCT((평가!C18:P18&lt;&gt;"")*(평가!C17:P17&lt;&gt;"")),"")</f>
        <v/>
      </c>
      <c r="N17" s="18">
        <f>"-"</f>
        <v/>
      </c>
      <c r="O17" s="19">
        <f>IFERROR(SUMPRODUCT((평가!C18:P18&lt;&gt;"")*(평가!C19:P19&lt;&gt;"")*(평가!C18:P18=평가!C19:P19))/SUMPRODUCT((평가!C18:P18&lt;&gt;"")*(평가!C19:P19&lt;&gt;"")),"")</f>
        <v/>
      </c>
      <c r="P17" s="19">
        <f>IFERROR(SUMPRODUCT((평가!C18:P18&lt;&gt;"")*(평가!C20:P20&lt;&gt;"")*(평가!C18:P18=평가!C20:P20))/SUMPRODUCT((평가!C18:P18&lt;&gt;"")*(평가!C20:P20&lt;&gt;"")),"")</f>
        <v/>
      </c>
      <c r="Q17" s="19">
        <f>IFERROR(SUMPRODUCT((평가!C18:P18&lt;&gt;"")*(평가!C21:P21&lt;&gt;"")*(평가!C18:P18=평가!C21:P21))/SUMPRODUCT((평가!C18:P18&lt;&gt;"")*(평가!C21:P21&lt;&gt;"")),"")</f>
        <v/>
      </c>
      <c r="R17" s="19">
        <f>IFERROR(SUMPRODUCT((평가!C18:P18&lt;&gt;"")*(평가!C22:P22&lt;&gt;"")*(평가!C18:P18=평가!C22:P22))/SUMPRODUCT((평가!C18:P18&lt;&gt;"")*(평가!C22:P22&lt;&gt;"")),"")</f>
        <v/>
      </c>
      <c r="S17" s="19">
        <f>IFERROR(SUMPRODUCT((평가!C18:P18&lt;&gt;"")*(평가!C23:P23&lt;&gt;"")*(평가!C18:P18=평가!C23:P23))/SUMPRODUCT((평가!C18:P18&lt;&gt;"")*(평가!C23:P23&lt;&gt;"")),"")</f>
        <v/>
      </c>
      <c r="T17" s="19">
        <f>IFERROR(SUMPRODUCT((평가!C18:P18&lt;&gt;"")*(평가!C24:P24&lt;&gt;"")*(평가!C18:P18=평가!C24:P24))/SUMPRODUCT((평가!C18:P18&lt;&gt;"")*(평가!C24:P24&lt;&gt;"")),"")</f>
        <v/>
      </c>
      <c r="U17" s="19">
        <f>IFERROR(SUMPRODUCT((평가!C18:P18&lt;&gt;"")*(평가!C25:P25&lt;&gt;"")*(평가!C18:P18=평가!C25:P25))/SUMPRODUCT((평가!C18:P18&lt;&gt;"")*(평가!C25:P25&lt;&gt;"")),"")</f>
        <v/>
      </c>
      <c r="V17" s="19">
        <f>IFERROR(SUMPRODUCT((평가!C18:P18&lt;&gt;"")*(평가!C26:P26&lt;&gt;"")*(평가!C18:P18=평가!C26:P26))/SUMPRODUCT((평가!C18:P18&lt;&gt;"")*(평가!C26:P26&lt;&gt;"")),"")</f>
        <v/>
      </c>
      <c r="W17" s="19">
        <f>IFERROR(SUMPRODUCT((평가!C18:P18&lt;&gt;"")*(평가!C27:P27&lt;&gt;"")*(평가!C18:P18=평가!C27:P27))/SUMPRODUCT((평가!C18:P18&lt;&gt;"")*(평가!C27:P27&lt;&gt;"")),"")</f>
        <v/>
      </c>
      <c r="X17" s="19">
        <f>IFERROR(SUMPRODUCT((평가!C18:P18&lt;&gt;"")*(평가!C28:P28&lt;&gt;"")*(평가!C18:P18=평가!C28:P28))/SUMPRODUCT((평가!C18:P18&lt;&gt;"")*(평가!C28:P28&lt;&gt;"")),"")</f>
        <v/>
      </c>
      <c r="Y17" s="19">
        <f>IFERROR(SUMPRODUCT((평가!C18:P18&lt;&gt;"")*(평가!C29:P29&lt;&gt;"")*(평가!C18:P18=평가!C29:P29))/SUMPRODUCT((평가!C18:P18&lt;&gt;"")*(평가!C29:P29&lt;&gt;"")),"")</f>
        <v/>
      </c>
    </row>
    <row r="18" ht="18" customHeight="1">
      <c r="A18" s="14" t="inlineStr">
        <is>
          <t>경제학과</t>
        </is>
      </c>
      <c r="B18" s="19">
        <f>IFERROR(SUMPRODUCT((평가!C19:P19&lt;&gt;"")*(평가!C6:P6&lt;&gt;"")*(평가!C19:P19=평가!C6:P6))/SUMPRODUCT((평가!C19:P19&lt;&gt;"")*(평가!C6:P6&lt;&gt;"")),"")</f>
        <v/>
      </c>
      <c r="C18" s="19">
        <f>IFERROR(SUMPRODUCT((평가!C19:P19&lt;&gt;"")*(평가!C7:P7&lt;&gt;"")*(평가!C19:P19=평가!C7:P7))/SUMPRODUCT((평가!C19:P19&lt;&gt;"")*(평가!C7:P7&lt;&gt;"")),"")</f>
        <v/>
      </c>
      <c r="D18" s="19">
        <f>IFERROR(SUMPRODUCT((평가!C19:P19&lt;&gt;"")*(평가!C8:P8&lt;&gt;"")*(평가!C19:P19=평가!C8:P8))/SUMPRODUCT((평가!C19:P19&lt;&gt;"")*(평가!C8:P8&lt;&gt;"")),"")</f>
        <v/>
      </c>
      <c r="E18" s="19">
        <f>IFERROR(SUMPRODUCT((평가!C19:P19&lt;&gt;"")*(평가!C9:P9&lt;&gt;"")*(평가!C19:P19=평가!C9:P9))/SUMPRODUCT((평가!C19:P19&lt;&gt;"")*(평가!C9:P9&lt;&gt;"")),"")</f>
        <v/>
      </c>
      <c r="F18" s="19">
        <f>IFERROR(SUMPRODUCT((평가!C19:P19&lt;&gt;"")*(평가!C10:P10&lt;&gt;"")*(평가!C19:P19=평가!C10:P10))/SUMPRODUCT((평가!C19:P19&lt;&gt;"")*(평가!C10:P10&lt;&gt;"")),"")</f>
        <v/>
      </c>
      <c r="G18" s="19">
        <f>IFERROR(SUMPRODUCT((평가!C19:P19&lt;&gt;"")*(평가!C11:P11&lt;&gt;"")*(평가!C19:P19=평가!C11:P11))/SUMPRODUCT((평가!C19:P19&lt;&gt;"")*(평가!C11:P11&lt;&gt;"")),"")</f>
        <v/>
      </c>
      <c r="H18" s="19">
        <f>IFERROR(SUMPRODUCT((평가!C19:P19&lt;&gt;"")*(평가!C12:P12&lt;&gt;"")*(평가!C19:P19=평가!C12:P12))/SUMPRODUCT((평가!C19:P19&lt;&gt;"")*(평가!C12:P12&lt;&gt;"")),"")</f>
        <v/>
      </c>
      <c r="I18" s="19">
        <f>IFERROR(SUMPRODUCT((평가!C19:P19&lt;&gt;"")*(평가!C13:P13&lt;&gt;"")*(평가!C19:P19=평가!C13:P13))/SUMPRODUCT((평가!C19:P19&lt;&gt;"")*(평가!C13:P13&lt;&gt;"")),"")</f>
        <v/>
      </c>
      <c r="J18" s="19">
        <f>IFERROR(SUMPRODUCT((평가!C19:P19&lt;&gt;"")*(평가!C14:P14&lt;&gt;"")*(평가!C19:P19=평가!C14:P14))/SUMPRODUCT((평가!C19:P19&lt;&gt;"")*(평가!C14:P14&lt;&gt;"")),"")</f>
        <v/>
      </c>
      <c r="K18" s="19">
        <f>IFERROR(SUMPRODUCT((평가!C19:P19&lt;&gt;"")*(평가!C15:P15&lt;&gt;"")*(평가!C19:P19=평가!C15:P15))/SUMPRODUCT((평가!C19:P19&lt;&gt;"")*(평가!C15:P15&lt;&gt;"")),"")</f>
        <v/>
      </c>
      <c r="L18" s="19">
        <f>IFERROR(SUMPRODUCT((평가!C19:P19&lt;&gt;"")*(평가!C16:P16&lt;&gt;"")*(평가!C19:P19=평가!C16:P16))/SUMPRODUCT((평가!C19:P19&lt;&gt;"")*(평가!C16:P16&lt;&gt;"")),"")</f>
        <v/>
      </c>
      <c r="M18" s="19">
        <f>IFERROR(SUMPRODUCT((평가!C19:P19&lt;&gt;"")*(평가!C17:P17&lt;&gt;"")*(평가!C19:P19=평가!C17:P17))/SUMPRODUCT((평가!C19:P19&lt;&gt;"")*(평가!C17:P17&lt;&gt;"")),"")</f>
        <v/>
      </c>
      <c r="N18" s="19">
        <f>IFERROR(SUMPRODUCT((평가!C19:P19&lt;&gt;"")*(평가!C18:P18&lt;&gt;"")*(평가!C19:P19=평가!C18:P18))/SUMPRODUCT((평가!C19:P19&lt;&gt;"")*(평가!C18:P18&lt;&gt;"")),"")</f>
        <v/>
      </c>
      <c r="O18" s="18">
        <f>"-"</f>
        <v/>
      </c>
      <c r="P18" s="19">
        <f>IFERROR(SUMPRODUCT((평가!C19:P19&lt;&gt;"")*(평가!C20:P20&lt;&gt;"")*(평가!C19:P19=평가!C20:P20))/SUMPRODUCT((평가!C19:P19&lt;&gt;"")*(평가!C20:P20&lt;&gt;"")),"")</f>
        <v/>
      </c>
      <c r="Q18" s="19">
        <f>IFERROR(SUMPRODUCT((평가!C19:P19&lt;&gt;"")*(평가!C21:P21&lt;&gt;"")*(평가!C19:P19=평가!C21:P21))/SUMPRODUCT((평가!C19:P19&lt;&gt;"")*(평가!C21:P21&lt;&gt;"")),"")</f>
        <v/>
      </c>
      <c r="R18" s="19">
        <f>IFERROR(SUMPRODUCT((평가!C19:P19&lt;&gt;"")*(평가!C22:P22&lt;&gt;"")*(평가!C19:P19=평가!C22:P22))/SUMPRODUCT((평가!C19:P19&lt;&gt;"")*(평가!C22:P22&lt;&gt;"")),"")</f>
        <v/>
      </c>
      <c r="S18" s="19">
        <f>IFERROR(SUMPRODUCT((평가!C19:P19&lt;&gt;"")*(평가!C23:P23&lt;&gt;"")*(평가!C19:P19=평가!C23:P23))/SUMPRODUCT((평가!C19:P19&lt;&gt;"")*(평가!C23:P23&lt;&gt;"")),"")</f>
        <v/>
      </c>
      <c r="T18" s="19">
        <f>IFERROR(SUMPRODUCT((평가!C19:P19&lt;&gt;"")*(평가!C24:P24&lt;&gt;"")*(평가!C19:P19=평가!C24:P24))/SUMPRODUCT((평가!C19:P19&lt;&gt;"")*(평가!C24:P24&lt;&gt;"")),"")</f>
        <v/>
      </c>
      <c r="U18" s="19">
        <f>IFERROR(SUMPRODUCT((평가!C19:P19&lt;&gt;"")*(평가!C25:P25&lt;&gt;"")*(평가!C19:P19=평가!C25:P25))/SUMPRODUCT((평가!C19:P19&lt;&gt;"")*(평가!C25:P25&lt;&gt;"")),"")</f>
        <v/>
      </c>
      <c r="V18" s="19">
        <f>IFERROR(SUMPRODUCT((평가!C19:P19&lt;&gt;"")*(평가!C26:P26&lt;&gt;"")*(평가!C19:P19=평가!C26:P26))/SUMPRODUCT((평가!C19:P19&lt;&gt;"")*(평가!C26:P26&lt;&gt;"")),"")</f>
        <v/>
      </c>
      <c r="W18" s="19">
        <f>IFERROR(SUMPRODUCT((평가!C19:P19&lt;&gt;"")*(평가!C27:P27&lt;&gt;"")*(평가!C19:P19=평가!C27:P27))/SUMPRODUCT((평가!C19:P19&lt;&gt;"")*(평가!C27:P27&lt;&gt;"")),"")</f>
        <v/>
      </c>
      <c r="X18" s="19">
        <f>IFERROR(SUMPRODUCT((평가!C19:P19&lt;&gt;"")*(평가!C28:P28&lt;&gt;"")*(평가!C19:P19=평가!C28:P28))/SUMPRODUCT((평가!C19:P19&lt;&gt;"")*(평가!C28:P28&lt;&gt;"")),"")</f>
        <v/>
      </c>
      <c r="Y18" s="19">
        <f>IFERROR(SUMPRODUCT((평가!C19:P19&lt;&gt;"")*(평가!C29:P29&lt;&gt;"")*(평가!C19:P19=평가!C29:P29))/SUMPRODUCT((평가!C19:P19&lt;&gt;"")*(평가!C29:P29&lt;&gt;"")),"")</f>
        <v/>
      </c>
    </row>
    <row r="19" ht="18" customHeight="1">
      <c r="A19" s="14" t="inlineStr">
        <is>
          <t>생명과학과</t>
        </is>
      </c>
      <c r="B19" s="19">
        <f>IFERROR(SUMPRODUCT((평가!C20:P20&lt;&gt;"")*(평가!C6:P6&lt;&gt;"")*(평가!C20:P20=평가!C6:P6))/SUMPRODUCT((평가!C20:P20&lt;&gt;"")*(평가!C6:P6&lt;&gt;"")),"")</f>
        <v/>
      </c>
      <c r="C19" s="19">
        <f>IFERROR(SUMPRODUCT((평가!C20:P20&lt;&gt;"")*(평가!C7:P7&lt;&gt;"")*(평가!C20:P20=평가!C7:P7))/SUMPRODUCT((평가!C20:P20&lt;&gt;"")*(평가!C7:P7&lt;&gt;"")),"")</f>
        <v/>
      </c>
      <c r="D19" s="19">
        <f>IFERROR(SUMPRODUCT((평가!C20:P20&lt;&gt;"")*(평가!C8:P8&lt;&gt;"")*(평가!C20:P20=평가!C8:P8))/SUMPRODUCT((평가!C20:P20&lt;&gt;"")*(평가!C8:P8&lt;&gt;"")),"")</f>
        <v/>
      </c>
      <c r="E19" s="19">
        <f>IFERROR(SUMPRODUCT((평가!C20:P20&lt;&gt;"")*(평가!C9:P9&lt;&gt;"")*(평가!C20:P20=평가!C9:P9))/SUMPRODUCT((평가!C20:P20&lt;&gt;"")*(평가!C9:P9&lt;&gt;"")),"")</f>
        <v/>
      </c>
      <c r="F19" s="19">
        <f>IFERROR(SUMPRODUCT((평가!C20:P20&lt;&gt;"")*(평가!C10:P10&lt;&gt;"")*(평가!C20:P20=평가!C10:P10))/SUMPRODUCT((평가!C20:P20&lt;&gt;"")*(평가!C10:P10&lt;&gt;"")),"")</f>
        <v/>
      </c>
      <c r="G19" s="19">
        <f>IFERROR(SUMPRODUCT((평가!C20:P20&lt;&gt;"")*(평가!C11:P11&lt;&gt;"")*(평가!C20:P20=평가!C11:P11))/SUMPRODUCT((평가!C20:P20&lt;&gt;"")*(평가!C11:P11&lt;&gt;"")),"")</f>
        <v/>
      </c>
      <c r="H19" s="19">
        <f>IFERROR(SUMPRODUCT((평가!C20:P20&lt;&gt;"")*(평가!C12:P12&lt;&gt;"")*(평가!C20:P20=평가!C12:P12))/SUMPRODUCT((평가!C20:P20&lt;&gt;"")*(평가!C12:P12&lt;&gt;"")),"")</f>
        <v/>
      </c>
      <c r="I19" s="19">
        <f>IFERROR(SUMPRODUCT((평가!C20:P20&lt;&gt;"")*(평가!C13:P13&lt;&gt;"")*(평가!C20:P20=평가!C13:P13))/SUMPRODUCT((평가!C20:P20&lt;&gt;"")*(평가!C13:P13&lt;&gt;"")),"")</f>
        <v/>
      </c>
      <c r="J19" s="19">
        <f>IFERROR(SUMPRODUCT((평가!C20:P20&lt;&gt;"")*(평가!C14:P14&lt;&gt;"")*(평가!C20:P20=평가!C14:P14))/SUMPRODUCT((평가!C20:P20&lt;&gt;"")*(평가!C14:P14&lt;&gt;"")),"")</f>
        <v/>
      </c>
      <c r="K19" s="19">
        <f>IFERROR(SUMPRODUCT((평가!C20:P20&lt;&gt;"")*(평가!C15:P15&lt;&gt;"")*(평가!C20:P20=평가!C15:P15))/SUMPRODUCT((평가!C20:P20&lt;&gt;"")*(평가!C15:P15&lt;&gt;"")),"")</f>
        <v/>
      </c>
      <c r="L19" s="19">
        <f>IFERROR(SUMPRODUCT((평가!C20:P20&lt;&gt;"")*(평가!C16:P16&lt;&gt;"")*(평가!C20:P20=평가!C16:P16))/SUMPRODUCT((평가!C20:P20&lt;&gt;"")*(평가!C16:P16&lt;&gt;"")),"")</f>
        <v/>
      </c>
      <c r="M19" s="19">
        <f>IFERROR(SUMPRODUCT((평가!C20:P20&lt;&gt;"")*(평가!C17:P17&lt;&gt;"")*(평가!C20:P20=평가!C17:P17))/SUMPRODUCT((평가!C20:P20&lt;&gt;"")*(평가!C17:P17&lt;&gt;"")),"")</f>
        <v/>
      </c>
      <c r="N19" s="19">
        <f>IFERROR(SUMPRODUCT((평가!C20:P20&lt;&gt;"")*(평가!C18:P18&lt;&gt;"")*(평가!C20:P20=평가!C18:P18))/SUMPRODUCT((평가!C20:P20&lt;&gt;"")*(평가!C18:P18&lt;&gt;"")),"")</f>
        <v/>
      </c>
      <c r="O19" s="19">
        <f>IFERROR(SUMPRODUCT((평가!C20:P20&lt;&gt;"")*(평가!C19:P19&lt;&gt;"")*(평가!C20:P20=평가!C19:P19))/SUMPRODUCT((평가!C20:P20&lt;&gt;"")*(평가!C19:P19&lt;&gt;"")),"")</f>
        <v/>
      </c>
      <c r="P19" s="18">
        <f>"-"</f>
        <v/>
      </c>
      <c r="Q19" s="19">
        <f>IFERROR(SUMPRODUCT((평가!C20:P20&lt;&gt;"")*(평가!C21:P21&lt;&gt;"")*(평가!C20:P20=평가!C21:P21))/SUMPRODUCT((평가!C20:P20&lt;&gt;"")*(평가!C21:P21&lt;&gt;"")),"")</f>
        <v/>
      </c>
      <c r="R19" s="19">
        <f>IFERROR(SUMPRODUCT((평가!C20:P20&lt;&gt;"")*(평가!C22:P22&lt;&gt;"")*(평가!C20:P20=평가!C22:P22))/SUMPRODUCT((평가!C20:P20&lt;&gt;"")*(평가!C22:P22&lt;&gt;"")),"")</f>
        <v/>
      </c>
      <c r="S19" s="19">
        <f>IFERROR(SUMPRODUCT((평가!C20:P20&lt;&gt;"")*(평가!C23:P23&lt;&gt;"")*(평가!C20:P20=평가!C23:P23))/SUMPRODUCT((평가!C20:P20&lt;&gt;"")*(평가!C23:P23&lt;&gt;"")),"")</f>
        <v/>
      </c>
      <c r="T19" s="19">
        <f>IFERROR(SUMPRODUCT((평가!C20:P20&lt;&gt;"")*(평가!C24:P24&lt;&gt;"")*(평가!C20:P20=평가!C24:P24))/SUMPRODUCT((평가!C20:P20&lt;&gt;"")*(평가!C24:P24&lt;&gt;"")),"")</f>
        <v/>
      </c>
      <c r="U19" s="19">
        <f>IFERROR(SUMPRODUCT((평가!C20:P20&lt;&gt;"")*(평가!C25:P25&lt;&gt;"")*(평가!C20:P20=평가!C25:P25))/SUMPRODUCT((평가!C20:P20&lt;&gt;"")*(평가!C25:P25&lt;&gt;"")),"")</f>
        <v/>
      </c>
      <c r="V19" s="19">
        <f>IFERROR(SUMPRODUCT((평가!C20:P20&lt;&gt;"")*(평가!C26:P26&lt;&gt;"")*(평가!C20:P20=평가!C26:P26))/SUMPRODUCT((평가!C20:P20&lt;&gt;"")*(평가!C26:P26&lt;&gt;"")),"")</f>
        <v/>
      </c>
      <c r="W19" s="19">
        <f>IFERROR(SUMPRODUCT((평가!C20:P20&lt;&gt;"")*(평가!C27:P27&lt;&gt;"")*(평가!C20:P20=평가!C27:P27))/SUMPRODUCT((평가!C20:P20&lt;&gt;"")*(평가!C27:P27&lt;&gt;"")),"")</f>
        <v/>
      </c>
      <c r="X19" s="19">
        <f>IFERROR(SUMPRODUCT((평가!C20:P20&lt;&gt;"")*(평가!C28:P28&lt;&gt;"")*(평가!C20:P20=평가!C28:P28))/SUMPRODUCT((평가!C20:P20&lt;&gt;"")*(평가!C28:P28&lt;&gt;"")),"")</f>
        <v/>
      </c>
      <c r="Y19" s="19">
        <f>IFERROR(SUMPRODUCT((평가!C20:P20&lt;&gt;"")*(평가!C29:P29&lt;&gt;"")*(평가!C20:P20=평가!C29:P29))/SUMPRODUCT((평가!C20:P20&lt;&gt;"")*(평가!C29:P29&lt;&gt;"")),"")</f>
        <v/>
      </c>
    </row>
    <row r="20" ht="18" customHeight="1">
      <c r="A20" s="14" t="inlineStr">
        <is>
          <t>미디어커뮤니케이션학과</t>
        </is>
      </c>
      <c r="B20" s="19">
        <f>IFERROR(SUMPRODUCT((평가!C21:P21&lt;&gt;"")*(평가!C6:P6&lt;&gt;"")*(평가!C21:P21=평가!C6:P6))/SUMPRODUCT((평가!C21:P21&lt;&gt;"")*(평가!C6:P6&lt;&gt;"")),"")</f>
        <v/>
      </c>
      <c r="C20" s="19">
        <f>IFERROR(SUMPRODUCT((평가!C21:P21&lt;&gt;"")*(평가!C7:P7&lt;&gt;"")*(평가!C21:P21=평가!C7:P7))/SUMPRODUCT((평가!C21:P21&lt;&gt;"")*(평가!C7:P7&lt;&gt;"")),"")</f>
        <v/>
      </c>
      <c r="D20" s="19">
        <f>IFERROR(SUMPRODUCT((평가!C21:P21&lt;&gt;"")*(평가!C8:P8&lt;&gt;"")*(평가!C21:P21=평가!C8:P8))/SUMPRODUCT((평가!C21:P21&lt;&gt;"")*(평가!C8:P8&lt;&gt;"")),"")</f>
        <v/>
      </c>
      <c r="E20" s="19">
        <f>IFERROR(SUMPRODUCT((평가!C21:P21&lt;&gt;"")*(평가!C9:P9&lt;&gt;"")*(평가!C21:P21=평가!C9:P9))/SUMPRODUCT((평가!C21:P21&lt;&gt;"")*(평가!C9:P9&lt;&gt;"")),"")</f>
        <v/>
      </c>
      <c r="F20" s="19">
        <f>IFERROR(SUMPRODUCT((평가!C21:P21&lt;&gt;"")*(평가!C10:P10&lt;&gt;"")*(평가!C21:P21=평가!C10:P10))/SUMPRODUCT((평가!C21:P21&lt;&gt;"")*(평가!C10:P10&lt;&gt;"")),"")</f>
        <v/>
      </c>
      <c r="G20" s="19">
        <f>IFERROR(SUMPRODUCT((평가!C21:P21&lt;&gt;"")*(평가!C11:P11&lt;&gt;"")*(평가!C21:P21=평가!C11:P11))/SUMPRODUCT((평가!C21:P21&lt;&gt;"")*(평가!C11:P11&lt;&gt;"")),"")</f>
        <v/>
      </c>
      <c r="H20" s="19">
        <f>IFERROR(SUMPRODUCT((평가!C21:P21&lt;&gt;"")*(평가!C12:P12&lt;&gt;"")*(평가!C21:P21=평가!C12:P12))/SUMPRODUCT((평가!C21:P21&lt;&gt;"")*(평가!C12:P12&lt;&gt;"")),"")</f>
        <v/>
      </c>
      <c r="I20" s="19">
        <f>IFERROR(SUMPRODUCT((평가!C21:P21&lt;&gt;"")*(평가!C13:P13&lt;&gt;"")*(평가!C21:P21=평가!C13:P13))/SUMPRODUCT((평가!C21:P21&lt;&gt;"")*(평가!C13:P13&lt;&gt;"")),"")</f>
        <v/>
      </c>
      <c r="J20" s="19">
        <f>IFERROR(SUMPRODUCT((평가!C21:P21&lt;&gt;"")*(평가!C14:P14&lt;&gt;"")*(평가!C21:P21=평가!C14:P14))/SUMPRODUCT((평가!C21:P21&lt;&gt;"")*(평가!C14:P14&lt;&gt;"")),"")</f>
        <v/>
      </c>
      <c r="K20" s="19">
        <f>IFERROR(SUMPRODUCT((평가!C21:P21&lt;&gt;"")*(평가!C15:P15&lt;&gt;"")*(평가!C21:P21=평가!C15:P15))/SUMPRODUCT((평가!C21:P21&lt;&gt;"")*(평가!C15:P15&lt;&gt;"")),"")</f>
        <v/>
      </c>
      <c r="L20" s="19">
        <f>IFERROR(SUMPRODUCT((평가!C21:P21&lt;&gt;"")*(평가!C16:P16&lt;&gt;"")*(평가!C21:P21=평가!C16:P16))/SUMPRODUCT((평가!C21:P21&lt;&gt;"")*(평가!C16:P16&lt;&gt;"")),"")</f>
        <v/>
      </c>
      <c r="M20" s="19">
        <f>IFERROR(SUMPRODUCT((평가!C21:P21&lt;&gt;"")*(평가!C17:P17&lt;&gt;"")*(평가!C21:P21=평가!C17:P17))/SUMPRODUCT((평가!C21:P21&lt;&gt;"")*(평가!C17:P17&lt;&gt;"")),"")</f>
        <v/>
      </c>
      <c r="N20" s="19">
        <f>IFERROR(SUMPRODUCT((평가!C21:P21&lt;&gt;"")*(평가!C18:P18&lt;&gt;"")*(평가!C21:P21=평가!C18:P18))/SUMPRODUCT((평가!C21:P21&lt;&gt;"")*(평가!C18:P18&lt;&gt;"")),"")</f>
        <v/>
      </c>
      <c r="O20" s="19">
        <f>IFERROR(SUMPRODUCT((평가!C21:P21&lt;&gt;"")*(평가!C19:P19&lt;&gt;"")*(평가!C21:P21=평가!C19:P19))/SUMPRODUCT((평가!C21:P21&lt;&gt;"")*(평가!C19:P19&lt;&gt;"")),"")</f>
        <v/>
      </c>
      <c r="P20" s="19">
        <f>IFERROR(SUMPRODUCT((평가!C21:P21&lt;&gt;"")*(평가!C20:P20&lt;&gt;"")*(평가!C21:P21=평가!C20:P20))/SUMPRODUCT((평가!C21:P21&lt;&gt;"")*(평가!C20:P20&lt;&gt;"")),"")</f>
        <v/>
      </c>
      <c r="Q20" s="18">
        <f>"-"</f>
        <v/>
      </c>
      <c r="R20" s="19">
        <f>IFERROR(SUMPRODUCT((평가!C21:P21&lt;&gt;"")*(평가!C22:P22&lt;&gt;"")*(평가!C21:P21=평가!C22:P22))/SUMPRODUCT((평가!C21:P21&lt;&gt;"")*(평가!C22:P22&lt;&gt;"")),"")</f>
        <v/>
      </c>
      <c r="S20" s="19">
        <f>IFERROR(SUMPRODUCT((평가!C21:P21&lt;&gt;"")*(평가!C23:P23&lt;&gt;"")*(평가!C21:P21=평가!C23:P23))/SUMPRODUCT((평가!C21:P21&lt;&gt;"")*(평가!C23:P23&lt;&gt;"")),"")</f>
        <v/>
      </c>
      <c r="T20" s="19">
        <f>IFERROR(SUMPRODUCT((평가!C21:P21&lt;&gt;"")*(평가!C24:P24&lt;&gt;"")*(평가!C21:P21=평가!C24:P24))/SUMPRODUCT((평가!C21:P21&lt;&gt;"")*(평가!C24:P24&lt;&gt;"")),"")</f>
        <v/>
      </c>
      <c r="U20" s="19">
        <f>IFERROR(SUMPRODUCT((평가!C21:P21&lt;&gt;"")*(평가!C25:P25&lt;&gt;"")*(평가!C21:P21=평가!C25:P25))/SUMPRODUCT((평가!C21:P21&lt;&gt;"")*(평가!C25:P25&lt;&gt;"")),"")</f>
        <v/>
      </c>
      <c r="V20" s="19">
        <f>IFERROR(SUMPRODUCT((평가!C21:P21&lt;&gt;"")*(평가!C26:P26&lt;&gt;"")*(평가!C21:P21=평가!C26:P26))/SUMPRODUCT((평가!C21:P21&lt;&gt;"")*(평가!C26:P26&lt;&gt;"")),"")</f>
        <v/>
      </c>
      <c r="W20" s="19">
        <f>IFERROR(SUMPRODUCT((평가!C21:P21&lt;&gt;"")*(평가!C27:P27&lt;&gt;"")*(평가!C21:P21=평가!C27:P27))/SUMPRODUCT((평가!C21:P21&lt;&gt;"")*(평가!C27:P27&lt;&gt;"")),"")</f>
        <v/>
      </c>
      <c r="X20" s="19">
        <f>IFERROR(SUMPRODUCT((평가!C21:P21&lt;&gt;"")*(평가!C28:P28&lt;&gt;"")*(평가!C21:P21=평가!C28:P28))/SUMPRODUCT((평가!C21:P21&lt;&gt;"")*(평가!C28:P28&lt;&gt;"")),"")</f>
        <v/>
      </c>
      <c r="Y20" s="19">
        <f>IFERROR(SUMPRODUCT((평가!C21:P21&lt;&gt;"")*(평가!C29:P29&lt;&gt;"")*(평가!C21:P21=평가!C29:P29))/SUMPRODUCT((평가!C21:P21&lt;&gt;"")*(평가!C29:P29&lt;&gt;"")),"")</f>
        <v/>
      </c>
    </row>
    <row r="21" ht="18" customHeight="1">
      <c r="A21" s="14" t="inlineStr">
        <is>
          <t>화학공학과</t>
        </is>
      </c>
      <c r="B21" s="19">
        <f>IFERROR(SUMPRODUCT((평가!C22:P22&lt;&gt;"")*(평가!C6:P6&lt;&gt;"")*(평가!C22:P22=평가!C6:P6))/SUMPRODUCT((평가!C22:P22&lt;&gt;"")*(평가!C6:P6&lt;&gt;"")),"")</f>
        <v/>
      </c>
      <c r="C21" s="19">
        <f>IFERROR(SUMPRODUCT((평가!C22:P22&lt;&gt;"")*(평가!C7:P7&lt;&gt;"")*(평가!C22:P22=평가!C7:P7))/SUMPRODUCT((평가!C22:P22&lt;&gt;"")*(평가!C7:P7&lt;&gt;"")),"")</f>
        <v/>
      </c>
      <c r="D21" s="19">
        <f>IFERROR(SUMPRODUCT((평가!C22:P22&lt;&gt;"")*(평가!C8:P8&lt;&gt;"")*(평가!C22:P22=평가!C8:P8))/SUMPRODUCT((평가!C22:P22&lt;&gt;"")*(평가!C8:P8&lt;&gt;"")),"")</f>
        <v/>
      </c>
      <c r="E21" s="19">
        <f>IFERROR(SUMPRODUCT((평가!C22:P22&lt;&gt;"")*(평가!C9:P9&lt;&gt;"")*(평가!C22:P22=평가!C9:P9))/SUMPRODUCT((평가!C22:P22&lt;&gt;"")*(평가!C9:P9&lt;&gt;"")),"")</f>
        <v/>
      </c>
      <c r="F21" s="19">
        <f>IFERROR(SUMPRODUCT((평가!C22:P22&lt;&gt;"")*(평가!C10:P10&lt;&gt;"")*(평가!C22:P22=평가!C10:P10))/SUMPRODUCT((평가!C22:P22&lt;&gt;"")*(평가!C10:P10&lt;&gt;"")),"")</f>
        <v/>
      </c>
      <c r="G21" s="19">
        <f>IFERROR(SUMPRODUCT((평가!C22:P22&lt;&gt;"")*(평가!C11:P11&lt;&gt;"")*(평가!C22:P22=평가!C11:P11))/SUMPRODUCT((평가!C22:P22&lt;&gt;"")*(평가!C11:P11&lt;&gt;"")),"")</f>
        <v/>
      </c>
      <c r="H21" s="19">
        <f>IFERROR(SUMPRODUCT((평가!C22:P22&lt;&gt;"")*(평가!C12:P12&lt;&gt;"")*(평가!C22:P22=평가!C12:P12))/SUMPRODUCT((평가!C22:P22&lt;&gt;"")*(평가!C12:P12&lt;&gt;"")),"")</f>
        <v/>
      </c>
      <c r="I21" s="19">
        <f>IFERROR(SUMPRODUCT((평가!C22:P22&lt;&gt;"")*(평가!C13:P13&lt;&gt;"")*(평가!C22:P22=평가!C13:P13))/SUMPRODUCT((평가!C22:P22&lt;&gt;"")*(평가!C13:P13&lt;&gt;"")),"")</f>
        <v/>
      </c>
      <c r="J21" s="19">
        <f>IFERROR(SUMPRODUCT((평가!C22:P22&lt;&gt;"")*(평가!C14:P14&lt;&gt;"")*(평가!C22:P22=평가!C14:P14))/SUMPRODUCT((평가!C22:P22&lt;&gt;"")*(평가!C14:P14&lt;&gt;"")),"")</f>
        <v/>
      </c>
      <c r="K21" s="19">
        <f>IFERROR(SUMPRODUCT((평가!C22:P22&lt;&gt;"")*(평가!C15:P15&lt;&gt;"")*(평가!C22:P22=평가!C15:P15))/SUMPRODUCT((평가!C22:P22&lt;&gt;"")*(평가!C15:P15&lt;&gt;"")),"")</f>
        <v/>
      </c>
      <c r="L21" s="19">
        <f>IFERROR(SUMPRODUCT((평가!C22:P22&lt;&gt;"")*(평가!C16:P16&lt;&gt;"")*(평가!C22:P22=평가!C16:P16))/SUMPRODUCT((평가!C22:P22&lt;&gt;"")*(평가!C16:P16&lt;&gt;"")),"")</f>
        <v/>
      </c>
      <c r="M21" s="19">
        <f>IFERROR(SUMPRODUCT((평가!C22:P22&lt;&gt;"")*(평가!C17:P17&lt;&gt;"")*(평가!C22:P22=평가!C17:P17))/SUMPRODUCT((평가!C22:P22&lt;&gt;"")*(평가!C17:P17&lt;&gt;"")),"")</f>
        <v/>
      </c>
      <c r="N21" s="19">
        <f>IFERROR(SUMPRODUCT((평가!C22:P22&lt;&gt;"")*(평가!C18:P18&lt;&gt;"")*(평가!C22:P22=평가!C18:P18))/SUMPRODUCT((평가!C22:P22&lt;&gt;"")*(평가!C18:P18&lt;&gt;"")),"")</f>
        <v/>
      </c>
      <c r="O21" s="19">
        <f>IFERROR(SUMPRODUCT((평가!C22:P22&lt;&gt;"")*(평가!C19:P19&lt;&gt;"")*(평가!C22:P22=평가!C19:P19))/SUMPRODUCT((평가!C22:P22&lt;&gt;"")*(평가!C19:P19&lt;&gt;"")),"")</f>
        <v/>
      </c>
      <c r="P21" s="19">
        <f>IFERROR(SUMPRODUCT((평가!C22:P22&lt;&gt;"")*(평가!C20:P20&lt;&gt;"")*(평가!C22:P22=평가!C20:P20))/SUMPRODUCT((평가!C22:P22&lt;&gt;"")*(평가!C20:P20&lt;&gt;"")),"")</f>
        <v/>
      </c>
      <c r="Q21" s="19">
        <f>IFERROR(SUMPRODUCT((평가!C22:P22&lt;&gt;"")*(평가!C21:P21&lt;&gt;"")*(평가!C22:P22=평가!C21:P21))/SUMPRODUCT((평가!C22:P22&lt;&gt;"")*(평가!C21:P21&lt;&gt;"")),"")</f>
        <v/>
      </c>
      <c r="R21" s="18">
        <f>"-"</f>
        <v/>
      </c>
      <c r="S21" s="19">
        <f>IFERROR(SUMPRODUCT((평가!C22:P22&lt;&gt;"")*(평가!C23:P23&lt;&gt;"")*(평가!C22:P22=평가!C23:P23))/SUMPRODUCT((평가!C22:P22&lt;&gt;"")*(평가!C23:P23&lt;&gt;"")),"")</f>
        <v/>
      </c>
      <c r="T21" s="19">
        <f>IFERROR(SUMPRODUCT((평가!C22:P22&lt;&gt;"")*(평가!C24:P24&lt;&gt;"")*(평가!C22:P22=평가!C24:P24))/SUMPRODUCT((평가!C22:P22&lt;&gt;"")*(평가!C24:P24&lt;&gt;"")),"")</f>
        <v/>
      </c>
      <c r="U21" s="19">
        <f>IFERROR(SUMPRODUCT((평가!C22:P22&lt;&gt;"")*(평가!C25:P25&lt;&gt;"")*(평가!C22:P22=평가!C25:P25))/SUMPRODUCT((평가!C22:P22&lt;&gt;"")*(평가!C25:P25&lt;&gt;"")),"")</f>
        <v/>
      </c>
      <c r="V21" s="19">
        <f>IFERROR(SUMPRODUCT((평가!C22:P22&lt;&gt;"")*(평가!C26:P26&lt;&gt;"")*(평가!C22:P22=평가!C26:P26))/SUMPRODUCT((평가!C22:P22&lt;&gt;"")*(평가!C26:P26&lt;&gt;"")),"")</f>
        <v/>
      </c>
      <c r="W21" s="19">
        <f>IFERROR(SUMPRODUCT((평가!C22:P22&lt;&gt;"")*(평가!C27:P27&lt;&gt;"")*(평가!C22:P22=평가!C27:P27))/SUMPRODUCT((평가!C22:P22&lt;&gt;"")*(평가!C27:P27&lt;&gt;"")),"")</f>
        <v/>
      </c>
      <c r="X21" s="19">
        <f>IFERROR(SUMPRODUCT((평가!C22:P22&lt;&gt;"")*(평가!C28:P28&lt;&gt;"")*(평가!C22:P22=평가!C28:P28))/SUMPRODUCT((평가!C22:P22&lt;&gt;"")*(평가!C28:P28&lt;&gt;"")),"")</f>
        <v/>
      </c>
      <c r="Y21" s="19">
        <f>IFERROR(SUMPRODUCT((평가!C22:P22&lt;&gt;"")*(평가!C29:P29&lt;&gt;"")*(평가!C22:P22=평가!C29:P29))/SUMPRODUCT((평가!C22:P22&lt;&gt;"")*(평가!C29:P29&lt;&gt;"")),"")</f>
        <v/>
      </c>
    </row>
    <row r="22" ht="18" customHeight="1">
      <c r="A22" s="14" t="inlineStr">
        <is>
          <t>디자인학과</t>
        </is>
      </c>
      <c r="B22" s="19">
        <f>IFERROR(SUMPRODUCT((평가!C23:P23&lt;&gt;"")*(평가!C6:P6&lt;&gt;"")*(평가!C23:P23=평가!C6:P6))/SUMPRODUCT((평가!C23:P23&lt;&gt;"")*(평가!C6:P6&lt;&gt;"")),"")</f>
        <v/>
      </c>
      <c r="C22" s="19">
        <f>IFERROR(SUMPRODUCT((평가!C23:P23&lt;&gt;"")*(평가!C7:P7&lt;&gt;"")*(평가!C23:P23=평가!C7:P7))/SUMPRODUCT((평가!C23:P23&lt;&gt;"")*(평가!C7:P7&lt;&gt;"")),"")</f>
        <v/>
      </c>
      <c r="D22" s="19">
        <f>IFERROR(SUMPRODUCT((평가!C23:P23&lt;&gt;"")*(평가!C8:P8&lt;&gt;"")*(평가!C23:P23=평가!C8:P8))/SUMPRODUCT((평가!C23:P23&lt;&gt;"")*(평가!C8:P8&lt;&gt;"")),"")</f>
        <v/>
      </c>
      <c r="E22" s="19">
        <f>IFERROR(SUMPRODUCT((평가!C23:P23&lt;&gt;"")*(평가!C9:P9&lt;&gt;"")*(평가!C23:P23=평가!C9:P9))/SUMPRODUCT((평가!C23:P23&lt;&gt;"")*(평가!C9:P9&lt;&gt;"")),"")</f>
        <v/>
      </c>
      <c r="F22" s="19">
        <f>IFERROR(SUMPRODUCT((평가!C23:P23&lt;&gt;"")*(평가!C10:P10&lt;&gt;"")*(평가!C23:P23=평가!C10:P10))/SUMPRODUCT((평가!C23:P23&lt;&gt;"")*(평가!C10:P10&lt;&gt;"")),"")</f>
        <v/>
      </c>
      <c r="G22" s="19">
        <f>IFERROR(SUMPRODUCT((평가!C23:P23&lt;&gt;"")*(평가!C11:P11&lt;&gt;"")*(평가!C23:P23=평가!C11:P11))/SUMPRODUCT((평가!C23:P23&lt;&gt;"")*(평가!C11:P11&lt;&gt;"")),"")</f>
        <v/>
      </c>
      <c r="H22" s="19">
        <f>IFERROR(SUMPRODUCT((평가!C23:P23&lt;&gt;"")*(평가!C12:P12&lt;&gt;"")*(평가!C23:P23=평가!C12:P12))/SUMPRODUCT((평가!C23:P23&lt;&gt;"")*(평가!C12:P12&lt;&gt;"")),"")</f>
        <v/>
      </c>
      <c r="I22" s="19">
        <f>IFERROR(SUMPRODUCT((평가!C23:P23&lt;&gt;"")*(평가!C13:P13&lt;&gt;"")*(평가!C23:P23=평가!C13:P13))/SUMPRODUCT((평가!C23:P23&lt;&gt;"")*(평가!C13:P13&lt;&gt;"")),"")</f>
        <v/>
      </c>
      <c r="J22" s="19">
        <f>IFERROR(SUMPRODUCT((평가!C23:P23&lt;&gt;"")*(평가!C14:P14&lt;&gt;"")*(평가!C23:P23=평가!C14:P14))/SUMPRODUCT((평가!C23:P23&lt;&gt;"")*(평가!C14:P14&lt;&gt;"")),"")</f>
        <v/>
      </c>
      <c r="K22" s="19">
        <f>IFERROR(SUMPRODUCT((평가!C23:P23&lt;&gt;"")*(평가!C15:P15&lt;&gt;"")*(평가!C23:P23=평가!C15:P15))/SUMPRODUCT((평가!C23:P23&lt;&gt;"")*(평가!C15:P15&lt;&gt;"")),"")</f>
        <v/>
      </c>
      <c r="L22" s="19">
        <f>IFERROR(SUMPRODUCT((평가!C23:P23&lt;&gt;"")*(평가!C16:P16&lt;&gt;"")*(평가!C23:P23=평가!C16:P16))/SUMPRODUCT((평가!C23:P23&lt;&gt;"")*(평가!C16:P16&lt;&gt;"")),"")</f>
        <v/>
      </c>
      <c r="M22" s="19">
        <f>IFERROR(SUMPRODUCT((평가!C23:P23&lt;&gt;"")*(평가!C17:P17&lt;&gt;"")*(평가!C23:P23=평가!C17:P17))/SUMPRODUCT((평가!C23:P23&lt;&gt;"")*(평가!C17:P17&lt;&gt;"")),"")</f>
        <v/>
      </c>
      <c r="N22" s="19">
        <f>IFERROR(SUMPRODUCT((평가!C23:P23&lt;&gt;"")*(평가!C18:P18&lt;&gt;"")*(평가!C23:P23=평가!C18:P18))/SUMPRODUCT((평가!C23:P23&lt;&gt;"")*(평가!C18:P18&lt;&gt;"")),"")</f>
        <v/>
      </c>
      <c r="O22" s="19">
        <f>IFERROR(SUMPRODUCT((평가!C23:P23&lt;&gt;"")*(평가!C19:P19&lt;&gt;"")*(평가!C23:P23=평가!C19:P19))/SUMPRODUCT((평가!C23:P23&lt;&gt;"")*(평가!C19:P19&lt;&gt;"")),"")</f>
        <v/>
      </c>
      <c r="P22" s="19">
        <f>IFERROR(SUMPRODUCT((평가!C23:P23&lt;&gt;"")*(평가!C20:P20&lt;&gt;"")*(평가!C23:P23=평가!C20:P20))/SUMPRODUCT((평가!C23:P23&lt;&gt;"")*(평가!C20:P20&lt;&gt;"")),"")</f>
        <v/>
      </c>
      <c r="Q22" s="19">
        <f>IFERROR(SUMPRODUCT((평가!C23:P23&lt;&gt;"")*(평가!C21:P21&lt;&gt;"")*(평가!C23:P23=평가!C21:P21))/SUMPRODUCT((평가!C23:P23&lt;&gt;"")*(평가!C21:P21&lt;&gt;"")),"")</f>
        <v/>
      </c>
      <c r="R22" s="19">
        <f>IFERROR(SUMPRODUCT((평가!C23:P23&lt;&gt;"")*(평가!C22:P22&lt;&gt;"")*(평가!C23:P23=평가!C22:P22))/SUMPRODUCT((평가!C23:P23&lt;&gt;"")*(평가!C22:P22&lt;&gt;"")),"")</f>
        <v/>
      </c>
      <c r="S22" s="18">
        <f>"-"</f>
        <v/>
      </c>
      <c r="T22" s="19">
        <f>IFERROR(SUMPRODUCT((평가!C23:P23&lt;&gt;"")*(평가!C24:P24&lt;&gt;"")*(평가!C23:P23=평가!C24:P24))/SUMPRODUCT((평가!C23:P23&lt;&gt;"")*(평가!C24:P24&lt;&gt;"")),"")</f>
        <v/>
      </c>
      <c r="U22" s="19">
        <f>IFERROR(SUMPRODUCT((평가!C23:P23&lt;&gt;"")*(평가!C25:P25&lt;&gt;"")*(평가!C23:P23=평가!C25:P25))/SUMPRODUCT((평가!C23:P23&lt;&gt;"")*(평가!C25:P25&lt;&gt;"")),"")</f>
        <v/>
      </c>
      <c r="V22" s="19">
        <f>IFERROR(SUMPRODUCT((평가!C23:P23&lt;&gt;"")*(평가!C26:P26&lt;&gt;"")*(평가!C23:P23=평가!C26:P26))/SUMPRODUCT((평가!C23:P23&lt;&gt;"")*(평가!C26:P26&lt;&gt;"")),"")</f>
        <v/>
      </c>
      <c r="W22" s="19">
        <f>IFERROR(SUMPRODUCT((평가!C23:P23&lt;&gt;"")*(평가!C27:P27&lt;&gt;"")*(평가!C23:P23=평가!C27:P27))/SUMPRODUCT((평가!C23:P23&lt;&gt;"")*(평가!C27:P27&lt;&gt;"")),"")</f>
        <v/>
      </c>
      <c r="X22" s="19">
        <f>IFERROR(SUMPRODUCT((평가!C23:P23&lt;&gt;"")*(평가!C28:P28&lt;&gt;"")*(평가!C23:P23=평가!C28:P28))/SUMPRODUCT((평가!C23:P23&lt;&gt;"")*(평가!C28:P28&lt;&gt;"")),"")</f>
        <v/>
      </c>
      <c r="Y22" s="19">
        <f>IFERROR(SUMPRODUCT((평가!C23:P23&lt;&gt;"")*(평가!C29:P29&lt;&gt;"")*(평가!C23:P23=평가!C29:P29))/SUMPRODUCT((평가!C23:P23&lt;&gt;"")*(평가!C29:P29&lt;&gt;"")),"")</f>
        <v/>
      </c>
    </row>
    <row r="23" ht="18" customHeight="1">
      <c r="A23" s="14" t="inlineStr">
        <is>
          <t>식품영양학과</t>
        </is>
      </c>
      <c r="B23" s="19">
        <f>IFERROR(SUMPRODUCT((평가!C24:P24&lt;&gt;"")*(평가!C6:P6&lt;&gt;"")*(평가!C24:P24=평가!C6:P6))/SUMPRODUCT((평가!C24:P24&lt;&gt;"")*(평가!C6:P6&lt;&gt;"")),"")</f>
        <v/>
      </c>
      <c r="C23" s="19">
        <f>IFERROR(SUMPRODUCT((평가!C24:P24&lt;&gt;"")*(평가!C7:P7&lt;&gt;"")*(평가!C24:P24=평가!C7:P7))/SUMPRODUCT((평가!C24:P24&lt;&gt;"")*(평가!C7:P7&lt;&gt;"")),"")</f>
        <v/>
      </c>
      <c r="D23" s="19">
        <f>IFERROR(SUMPRODUCT((평가!C24:P24&lt;&gt;"")*(평가!C8:P8&lt;&gt;"")*(평가!C24:P24=평가!C8:P8))/SUMPRODUCT((평가!C24:P24&lt;&gt;"")*(평가!C8:P8&lt;&gt;"")),"")</f>
        <v/>
      </c>
      <c r="E23" s="19">
        <f>IFERROR(SUMPRODUCT((평가!C24:P24&lt;&gt;"")*(평가!C9:P9&lt;&gt;"")*(평가!C24:P24=평가!C9:P9))/SUMPRODUCT((평가!C24:P24&lt;&gt;"")*(평가!C9:P9&lt;&gt;"")),"")</f>
        <v/>
      </c>
      <c r="F23" s="19">
        <f>IFERROR(SUMPRODUCT((평가!C24:P24&lt;&gt;"")*(평가!C10:P10&lt;&gt;"")*(평가!C24:P24=평가!C10:P10))/SUMPRODUCT((평가!C24:P24&lt;&gt;"")*(평가!C10:P10&lt;&gt;"")),"")</f>
        <v/>
      </c>
      <c r="G23" s="19">
        <f>IFERROR(SUMPRODUCT((평가!C24:P24&lt;&gt;"")*(평가!C11:P11&lt;&gt;"")*(평가!C24:P24=평가!C11:P11))/SUMPRODUCT((평가!C24:P24&lt;&gt;"")*(평가!C11:P11&lt;&gt;"")),"")</f>
        <v/>
      </c>
      <c r="H23" s="19">
        <f>IFERROR(SUMPRODUCT((평가!C24:P24&lt;&gt;"")*(평가!C12:P12&lt;&gt;"")*(평가!C24:P24=평가!C12:P12))/SUMPRODUCT((평가!C24:P24&lt;&gt;"")*(평가!C12:P12&lt;&gt;"")),"")</f>
        <v/>
      </c>
      <c r="I23" s="19">
        <f>IFERROR(SUMPRODUCT((평가!C24:P24&lt;&gt;"")*(평가!C13:P13&lt;&gt;"")*(평가!C24:P24=평가!C13:P13))/SUMPRODUCT((평가!C24:P24&lt;&gt;"")*(평가!C13:P13&lt;&gt;"")),"")</f>
        <v/>
      </c>
      <c r="J23" s="19">
        <f>IFERROR(SUMPRODUCT((평가!C24:P24&lt;&gt;"")*(평가!C14:P14&lt;&gt;"")*(평가!C24:P24=평가!C14:P14))/SUMPRODUCT((평가!C24:P24&lt;&gt;"")*(평가!C14:P14&lt;&gt;"")),"")</f>
        <v/>
      </c>
      <c r="K23" s="19">
        <f>IFERROR(SUMPRODUCT((평가!C24:P24&lt;&gt;"")*(평가!C15:P15&lt;&gt;"")*(평가!C24:P24=평가!C15:P15))/SUMPRODUCT((평가!C24:P24&lt;&gt;"")*(평가!C15:P15&lt;&gt;"")),"")</f>
        <v/>
      </c>
      <c r="L23" s="19">
        <f>IFERROR(SUMPRODUCT((평가!C24:P24&lt;&gt;"")*(평가!C16:P16&lt;&gt;"")*(평가!C24:P24=평가!C16:P16))/SUMPRODUCT((평가!C24:P24&lt;&gt;"")*(평가!C16:P16&lt;&gt;"")),"")</f>
        <v/>
      </c>
      <c r="M23" s="19">
        <f>IFERROR(SUMPRODUCT((평가!C24:P24&lt;&gt;"")*(평가!C17:P17&lt;&gt;"")*(평가!C24:P24=평가!C17:P17))/SUMPRODUCT((평가!C24:P24&lt;&gt;"")*(평가!C17:P17&lt;&gt;"")),"")</f>
        <v/>
      </c>
      <c r="N23" s="19">
        <f>IFERROR(SUMPRODUCT((평가!C24:P24&lt;&gt;"")*(평가!C18:P18&lt;&gt;"")*(평가!C24:P24=평가!C18:P18))/SUMPRODUCT((평가!C24:P24&lt;&gt;"")*(평가!C18:P18&lt;&gt;"")),"")</f>
        <v/>
      </c>
      <c r="O23" s="19">
        <f>IFERROR(SUMPRODUCT((평가!C24:P24&lt;&gt;"")*(평가!C19:P19&lt;&gt;"")*(평가!C24:P24=평가!C19:P19))/SUMPRODUCT((평가!C24:P24&lt;&gt;"")*(평가!C19:P19&lt;&gt;"")),"")</f>
        <v/>
      </c>
      <c r="P23" s="19">
        <f>IFERROR(SUMPRODUCT((평가!C24:P24&lt;&gt;"")*(평가!C20:P20&lt;&gt;"")*(평가!C24:P24=평가!C20:P20))/SUMPRODUCT((평가!C24:P24&lt;&gt;"")*(평가!C20:P20&lt;&gt;"")),"")</f>
        <v/>
      </c>
      <c r="Q23" s="19">
        <f>IFERROR(SUMPRODUCT((평가!C24:P24&lt;&gt;"")*(평가!C21:P21&lt;&gt;"")*(평가!C24:P24=평가!C21:P21))/SUMPRODUCT((평가!C24:P24&lt;&gt;"")*(평가!C21:P21&lt;&gt;"")),"")</f>
        <v/>
      </c>
      <c r="R23" s="19">
        <f>IFERROR(SUMPRODUCT((평가!C24:P24&lt;&gt;"")*(평가!C22:P22&lt;&gt;"")*(평가!C24:P24=평가!C22:P22))/SUMPRODUCT((평가!C24:P24&lt;&gt;"")*(평가!C22:P22&lt;&gt;"")),"")</f>
        <v/>
      </c>
      <c r="S23" s="19">
        <f>IFERROR(SUMPRODUCT((평가!C24:P24&lt;&gt;"")*(평가!C23:P23&lt;&gt;"")*(평가!C24:P24=평가!C23:P23))/SUMPRODUCT((평가!C24:P24&lt;&gt;"")*(평가!C23:P23&lt;&gt;"")),"")</f>
        <v/>
      </c>
      <c r="T23" s="18">
        <f>"-"</f>
        <v/>
      </c>
      <c r="U23" s="19">
        <f>IFERROR(SUMPRODUCT((평가!C24:P24&lt;&gt;"")*(평가!C25:P25&lt;&gt;"")*(평가!C24:P24=평가!C25:P25))/SUMPRODUCT((평가!C24:P24&lt;&gt;"")*(평가!C25:P25&lt;&gt;"")),"")</f>
        <v/>
      </c>
      <c r="V23" s="19">
        <f>IFERROR(SUMPRODUCT((평가!C24:P24&lt;&gt;"")*(평가!C26:P26&lt;&gt;"")*(평가!C24:P24=평가!C26:P26))/SUMPRODUCT((평가!C24:P24&lt;&gt;"")*(평가!C26:P26&lt;&gt;"")),"")</f>
        <v/>
      </c>
      <c r="W23" s="19">
        <f>IFERROR(SUMPRODUCT((평가!C24:P24&lt;&gt;"")*(평가!C27:P27&lt;&gt;"")*(평가!C24:P24=평가!C27:P27))/SUMPRODUCT((평가!C24:P24&lt;&gt;"")*(평가!C27:P27&lt;&gt;"")),"")</f>
        <v/>
      </c>
      <c r="X23" s="19">
        <f>IFERROR(SUMPRODUCT((평가!C24:P24&lt;&gt;"")*(평가!C28:P28&lt;&gt;"")*(평가!C24:P24=평가!C28:P28))/SUMPRODUCT((평가!C24:P24&lt;&gt;"")*(평가!C28:P28&lt;&gt;"")),"")</f>
        <v/>
      </c>
      <c r="Y23" s="19">
        <f>IFERROR(SUMPRODUCT((평가!C24:P24&lt;&gt;"")*(평가!C29:P29&lt;&gt;"")*(평가!C24:P24=평가!C29:P29))/SUMPRODUCT((평가!C24:P24&lt;&gt;"")*(평가!C29:P29&lt;&gt;"")),"")</f>
        <v/>
      </c>
    </row>
    <row r="24" ht="18" customHeight="1">
      <c r="A24" s="14" t="inlineStr">
        <is>
          <t>간호학과</t>
        </is>
      </c>
      <c r="B24" s="19">
        <f>IFERROR(SUMPRODUCT((평가!C25:P25&lt;&gt;"")*(평가!C6:P6&lt;&gt;"")*(평가!C25:P25=평가!C6:P6))/SUMPRODUCT((평가!C25:P25&lt;&gt;"")*(평가!C6:P6&lt;&gt;"")),"")</f>
        <v/>
      </c>
      <c r="C24" s="19">
        <f>IFERROR(SUMPRODUCT((평가!C25:P25&lt;&gt;"")*(평가!C7:P7&lt;&gt;"")*(평가!C25:P25=평가!C7:P7))/SUMPRODUCT((평가!C25:P25&lt;&gt;"")*(평가!C7:P7&lt;&gt;"")),"")</f>
        <v/>
      </c>
      <c r="D24" s="19">
        <f>IFERROR(SUMPRODUCT((평가!C25:P25&lt;&gt;"")*(평가!C8:P8&lt;&gt;"")*(평가!C25:P25=평가!C8:P8))/SUMPRODUCT((평가!C25:P25&lt;&gt;"")*(평가!C8:P8&lt;&gt;"")),"")</f>
        <v/>
      </c>
      <c r="E24" s="19">
        <f>IFERROR(SUMPRODUCT((평가!C25:P25&lt;&gt;"")*(평가!C9:P9&lt;&gt;"")*(평가!C25:P25=평가!C9:P9))/SUMPRODUCT((평가!C25:P25&lt;&gt;"")*(평가!C9:P9&lt;&gt;"")),"")</f>
        <v/>
      </c>
      <c r="F24" s="19">
        <f>IFERROR(SUMPRODUCT((평가!C25:P25&lt;&gt;"")*(평가!C10:P10&lt;&gt;"")*(평가!C25:P25=평가!C10:P10))/SUMPRODUCT((평가!C25:P25&lt;&gt;"")*(평가!C10:P10&lt;&gt;"")),"")</f>
        <v/>
      </c>
      <c r="G24" s="19">
        <f>IFERROR(SUMPRODUCT((평가!C25:P25&lt;&gt;"")*(평가!C11:P11&lt;&gt;"")*(평가!C25:P25=평가!C11:P11))/SUMPRODUCT((평가!C25:P25&lt;&gt;"")*(평가!C11:P11&lt;&gt;"")),"")</f>
        <v/>
      </c>
      <c r="H24" s="19">
        <f>IFERROR(SUMPRODUCT((평가!C25:P25&lt;&gt;"")*(평가!C12:P12&lt;&gt;"")*(평가!C25:P25=평가!C12:P12))/SUMPRODUCT((평가!C25:P25&lt;&gt;"")*(평가!C12:P12&lt;&gt;"")),"")</f>
        <v/>
      </c>
      <c r="I24" s="19">
        <f>IFERROR(SUMPRODUCT((평가!C25:P25&lt;&gt;"")*(평가!C13:P13&lt;&gt;"")*(평가!C25:P25=평가!C13:P13))/SUMPRODUCT((평가!C25:P25&lt;&gt;"")*(평가!C13:P13&lt;&gt;"")),"")</f>
        <v/>
      </c>
      <c r="J24" s="19">
        <f>IFERROR(SUMPRODUCT((평가!C25:P25&lt;&gt;"")*(평가!C14:P14&lt;&gt;"")*(평가!C25:P25=평가!C14:P14))/SUMPRODUCT((평가!C25:P25&lt;&gt;"")*(평가!C14:P14&lt;&gt;"")),"")</f>
        <v/>
      </c>
      <c r="K24" s="19">
        <f>IFERROR(SUMPRODUCT((평가!C25:P25&lt;&gt;"")*(평가!C15:P15&lt;&gt;"")*(평가!C25:P25=평가!C15:P15))/SUMPRODUCT((평가!C25:P25&lt;&gt;"")*(평가!C15:P15&lt;&gt;"")),"")</f>
        <v/>
      </c>
      <c r="L24" s="19">
        <f>IFERROR(SUMPRODUCT((평가!C25:P25&lt;&gt;"")*(평가!C16:P16&lt;&gt;"")*(평가!C25:P25=평가!C16:P16))/SUMPRODUCT((평가!C25:P25&lt;&gt;"")*(평가!C16:P16&lt;&gt;"")),"")</f>
        <v/>
      </c>
      <c r="M24" s="19">
        <f>IFERROR(SUMPRODUCT((평가!C25:P25&lt;&gt;"")*(평가!C17:P17&lt;&gt;"")*(평가!C25:P25=평가!C17:P17))/SUMPRODUCT((평가!C25:P25&lt;&gt;"")*(평가!C17:P17&lt;&gt;"")),"")</f>
        <v/>
      </c>
      <c r="N24" s="19">
        <f>IFERROR(SUMPRODUCT((평가!C25:P25&lt;&gt;"")*(평가!C18:P18&lt;&gt;"")*(평가!C25:P25=평가!C18:P18))/SUMPRODUCT((평가!C25:P25&lt;&gt;"")*(평가!C18:P18&lt;&gt;"")),"")</f>
        <v/>
      </c>
      <c r="O24" s="19">
        <f>IFERROR(SUMPRODUCT((평가!C25:P25&lt;&gt;"")*(평가!C19:P19&lt;&gt;"")*(평가!C25:P25=평가!C19:P19))/SUMPRODUCT((평가!C25:P25&lt;&gt;"")*(평가!C19:P19&lt;&gt;"")),"")</f>
        <v/>
      </c>
      <c r="P24" s="19">
        <f>IFERROR(SUMPRODUCT((평가!C25:P25&lt;&gt;"")*(평가!C20:P20&lt;&gt;"")*(평가!C25:P25=평가!C20:P20))/SUMPRODUCT((평가!C25:P25&lt;&gt;"")*(평가!C20:P20&lt;&gt;"")),"")</f>
        <v/>
      </c>
      <c r="Q24" s="19">
        <f>IFERROR(SUMPRODUCT((평가!C25:P25&lt;&gt;"")*(평가!C21:P21&lt;&gt;"")*(평가!C25:P25=평가!C21:P21))/SUMPRODUCT((평가!C25:P25&lt;&gt;"")*(평가!C21:P21&lt;&gt;"")),"")</f>
        <v/>
      </c>
      <c r="R24" s="19">
        <f>IFERROR(SUMPRODUCT((평가!C25:P25&lt;&gt;"")*(평가!C22:P22&lt;&gt;"")*(평가!C25:P25=평가!C22:P22))/SUMPRODUCT((평가!C25:P25&lt;&gt;"")*(평가!C22:P22&lt;&gt;"")),"")</f>
        <v/>
      </c>
      <c r="S24" s="19">
        <f>IFERROR(SUMPRODUCT((평가!C25:P25&lt;&gt;"")*(평가!C23:P23&lt;&gt;"")*(평가!C25:P25=평가!C23:P23))/SUMPRODUCT((평가!C25:P25&lt;&gt;"")*(평가!C23:P23&lt;&gt;"")),"")</f>
        <v/>
      </c>
      <c r="T24" s="19">
        <f>IFERROR(SUMPRODUCT((평가!C25:P25&lt;&gt;"")*(평가!C24:P24&lt;&gt;"")*(평가!C25:P25=평가!C24:P24))/SUMPRODUCT((평가!C25:P25&lt;&gt;"")*(평가!C24:P24&lt;&gt;"")),"")</f>
        <v/>
      </c>
      <c r="U24" s="18">
        <f>"-"</f>
        <v/>
      </c>
      <c r="V24" s="19">
        <f>IFERROR(SUMPRODUCT((평가!C25:P25&lt;&gt;"")*(평가!C26:P26&lt;&gt;"")*(평가!C25:P25=평가!C26:P26))/SUMPRODUCT((평가!C25:P25&lt;&gt;"")*(평가!C26:P26&lt;&gt;"")),"")</f>
        <v/>
      </c>
      <c r="W24" s="19">
        <f>IFERROR(SUMPRODUCT((평가!C25:P25&lt;&gt;"")*(평가!C27:P27&lt;&gt;"")*(평가!C25:P25=평가!C27:P27))/SUMPRODUCT((평가!C25:P25&lt;&gt;"")*(평가!C27:P27&lt;&gt;"")),"")</f>
        <v/>
      </c>
      <c r="X24" s="19">
        <f>IFERROR(SUMPRODUCT((평가!C25:P25&lt;&gt;"")*(평가!C28:P28&lt;&gt;"")*(평가!C25:P25=평가!C28:P28))/SUMPRODUCT((평가!C25:P25&lt;&gt;"")*(평가!C28:P28&lt;&gt;"")),"")</f>
        <v/>
      </c>
      <c r="Y24" s="19">
        <f>IFERROR(SUMPRODUCT((평가!C25:P25&lt;&gt;"")*(평가!C29:P29&lt;&gt;"")*(평가!C25:P25=평가!C29:P29))/SUMPRODUCT((평가!C25:P25&lt;&gt;"")*(평가!C29:P29&lt;&gt;"")),"")</f>
        <v/>
      </c>
    </row>
    <row r="25" ht="18" customHeight="1">
      <c r="A25" s="14" t="inlineStr">
        <is>
          <t>전기전자공학과</t>
        </is>
      </c>
      <c r="B25" s="19">
        <f>IFERROR(SUMPRODUCT((평가!C26:P26&lt;&gt;"")*(평가!C6:P6&lt;&gt;"")*(평가!C26:P26=평가!C6:P6))/SUMPRODUCT((평가!C26:P26&lt;&gt;"")*(평가!C6:P6&lt;&gt;"")),"")</f>
        <v/>
      </c>
      <c r="C25" s="19">
        <f>IFERROR(SUMPRODUCT((평가!C26:P26&lt;&gt;"")*(평가!C7:P7&lt;&gt;"")*(평가!C26:P26=평가!C7:P7))/SUMPRODUCT((평가!C26:P26&lt;&gt;"")*(평가!C7:P7&lt;&gt;"")),"")</f>
        <v/>
      </c>
      <c r="D25" s="19">
        <f>IFERROR(SUMPRODUCT((평가!C26:P26&lt;&gt;"")*(평가!C8:P8&lt;&gt;"")*(평가!C26:P26=평가!C8:P8))/SUMPRODUCT((평가!C26:P26&lt;&gt;"")*(평가!C8:P8&lt;&gt;"")),"")</f>
        <v/>
      </c>
      <c r="E25" s="19">
        <f>IFERROR(SUMPRODUCT((평가!C26:P26&lt;&gt;"")*(평가!C9:P9&lt;&gt;"")*(평가!C26:P26=평가!C9:P9))/SUMPRODUCT((평가!C26:P26&lt;&gt;"")*(평가!C9:P9&lt;&gt;"")),"")</f>
        <v/>
      </c>
      <c r="F25" s="19">
        <f>IFERROR(SUMPRODUCT((평가!C26:P26&lt;&gt;"")*(평가!C10:P10&lt;&gt;"")*(평가!C26:P26=평가!C10:P10))/SUMPRODUCT((평가!C26:P26&lt;&gt;"")*(평가!C10:P10&lt;&gt;"")),"")</f>
        <v/>
      </c>
      <c r="G25" s="19">
        <f>IFERROR(SUMPRODUCT((평가!C26:P26&lt;&gt;"")*(평가!C11:P11&lt;&gt;"")*(평가!C26:P26=평가!C11:P11))/SUMPRODUCT((평가!C26:P26&lt;&gt;"")*(평가!C11:P11&lt;&gt;"")),"")</f>
        <v/>
      </c>
      <c r="H25" s="19">
        <f>IFERROR(SUMPRODUCT((평가!C26:P26&lt;&gt;"")*(평가!C12:P12&lt;&gt;"")*(평가!C26:P26=평가!C12:P12))/SUMPRODUCT((평가!C26:P26&lt;&gt;"")*(평가!C12:P12&lt;&gt;"")),"")</f>
        <v/>
      </c>
      <c r="I25" s="19">
        <f>IFERROR(SUMPRODUCT((평가!C26:P26&lt;&gt;"")*(평가!C13:P13&lt;&gt;"")*(평가!C26:P26=평가!C13:P13))/SUMPRODUCT((평가!C26:P26&lt;&gt;"")*(평가!C13:P13&lt;&gt;"")),"")</f>
        <v/>
      </c>
      <c r="J25" s="19">
        <f>IFERROR(SUMPRODUCT((평가!C26:P26&lt;&gt;"")*(평가!C14:P14&lt;&gt;"")*(평가!C26:P26=평가!C14:P14))/SUMPRODUCT((평가!C26:P26&lt;&gt;"")*(평가!C14:P14&lt;&gt;"")),"")</f>
        <v/>
      </c>
      <c r="K25" s="19">
        <f>IFERROR(SUMPRODUCT((평가!C26:P26&lt;&gt;"")*(평가!C15:P15&lt;&gt;"")*(평가!C26:P26=평가!C15:P15))/SUMPRODUCT((평가!C26:P26&lt;&gt;"")*(평가!C15:P15&lt;&gt;"")),"")</f>
        <v/>
      </c>
      <c r="L25" s="19">
        <f>IFERROR(SUMPRODUCT((평가!C26:P26&lt;&gt;"")*(평가!C16:P16&lt;&gt;"")*(평가!C26:P26=평가!C16:P16))/SUMPRODUCT((평가!C26:P26&lt;&gt;"")*(평가!C16:P16&lt;&gt;"")),"")</f>
        <v/>
      </c>
      <c r="M25" s="19">
        <f>IFERROR(SUMPRODUCT((평가!C26:P26&lt;&gt;"")*(평가!C17:P17&lt;&gt;"")*(평가!C26:P26=평가!C17:P17))/SUMPRODUCT((평가!C26:P26&lt;&gt;"")*(평가!C17:P17&lt;&gt;"")),"")</f>
        <v/>
      </c>
      <c r="N25" s="19">
        <f>IFERROR(SUMPRODUCT((평가!C26:P26&lt;&gt;"")*(평가!C18:P18&lt;&gt;"")*(평가!C26:P26=평가!C18:P18))/SUMPRODUCT((평가!C26:P26&lt;&gt;"")*(평가!C18:P18&lt;&gt;"")),"")</f>
        <v/>
      </c>
      <c r="O25" s="19">
        <f>IFERROR(SUMPRODUCT((평가!C26:P26&lt;&gt;"")*(평가!C19:P19&lt;&gt;"")*(평가!C26:P26=평가!C19:P19))/SUMPRODUCT((평가!C26:P26&lt;&gt;"")*(평가!C19:P19&lt;&gt;"")),"")</f>
        <v/>
      </c>
      <c r="P25" s="19">
        <f>IFERROR(SUMPRODUCT((평가!C26:P26&lt;&gt;"")*(평가!C20:P20&lt;&gt;"")*(평가!C26:P26=평가!C20:P20))/SUMPRODUCT((평가!C26:P26&lt;&gt;"")*(평가!C20:P20&lt;&gt;"")),"")</f>
        <v/>
      </c>
      <c r="Q25" s="19">
        <f>IFERROR(SUMPRODUCT((평가!C26:P26&lt;&gt;"")*(평가!C21:P21&lt;&gt;"")*(평가!C26:P26=평가!C21:P21))/SUMPRODUCT((평가!C26:P26&lt;&gt;"")*(평가!C21:P21&lt;&gt;"")),"")</f>
        <v/>
      </c>
      <c r="R25" s="19">
        <f>IFERROR(SUMPRODUCT((평가!C26:P26&lt;&gt;"")*(평가!C22:P22&lt;&gt;"")*(평가!C26:P26=평가!C22:P22))/SUMPRODUCT((평가!C26:P26&lt;&gt;"")*(평가!C22:P22&lt;&gt;"")),"")</f>
        <v/>
      </c>
      <c r="S25" s="19">
        <f>IFERROR(SUMPRODUCT((평가!C26:P26&lt;&gt;"")*(평가!C23:P23&lt;&gt;"")*(평가!C26:P26=평가!C23:P23))/SUMPRODUCT((평가!C26:P26&lt;&gt;"")*(평가!C23:P23&lt;&gt;"")),"")</f>
        <v/>
      </c>
      <c r="T25" s="19">
        <f>IFERROR(SUMPRODUCT((평가!C26:P26&lt;&gt;"")*(평가!C24:P24&lt;&gt;"")*(평가!C26:P26=평가!C24:P24))/SUMPRODUCT((평가!C26:P26&lt;&gt;"")*(평가!C24:P24&lt;&gt;"")),"")</f>
        <v/>
      </c>
      <c r="U25" s="19">
        <f>IFERROR(SUMPRODUCT((평가!C26:P26&lt;&gt;"")*(평가!C25:P25&lt;&gt;"")*(평가!C26:P26=평가!C25:P25))/SUMPRODUCT((평가!C26:P26&lt;&gt;"")*(평가!C25:P25&lt;&gt;"")),"")</f>
        <v/>
      </c>
      <c r="V25" s="18">
        <f>"-"</f>
        <v/>
      </c>
      <c r="W25" s="19">
        <f>IFERROR(SUMPRODUCT((평가!C26:P26&lt;&gt;"")*(평가!C27:P27&lt;&gt;"")*(평가!C26:P26=평가!C27:P27))/SUMPRODUCT((평가!C26:P26&lt;&gt;"")*(평가!C27:P27&lt;&gt;"")),"")</f>
        <v/>
      </c>
      <c r="X25" s="19">
        <f>IFERROR(SUMPRODUCT((평가!C26:P26&lt;&gt;"")*(평가!C28:P28&lt;&gt;"")*(평가!C26:P26=평가!C28:P28))/SUMPRODUCT((평가!C26:P26&lt;&gt;"")*(평가!C28:P28&lt;&gt;"")),"")</f>
        <v/>
      </c>
      <c r="Y25" s="19">
        <f>IFERROR(SUMPRODUCT((평가!C26:P26&lt;&gt;"")*(평가!C29:P29&lt;&gt;"")*(평가!C26:P26=평가!C29:P29))/SUMPRODUCT((평가!C26:P26&lt;&gt;"")*(평가!C29:P29&lt;&gt;"")),"")</f>
        <v/>
      </c>
    </row>
    <row r="26" ht="18" customHeight="1">
      <c r="A26" s="14" t="inlineStr">
        <is>
          <t>사학과</t>
        </is>
      </c>
      <c r="B26" s="19">
        <f>IFERROR(SUMPRODUCT((평가!C27:P27&lt;&gt;"")*(평가!C6:P6&lt;&gt;"")*(평가!C27:P27=평가!C6:P6))/SUMPRODUCT((평가!C27:P27&lt;&gt;"")*(평가!C6:P6&lt;&gt;"")),"")</f>
        <v/>
      </c>
      <c r="C26" s="19">
        <f>IFERROR(SUMPRODUCT((평가!C27:P27&lt;&gt;"")*(평가!C7:P7&lt;&gt;"")*(평가!C27:P27=평가!C7:P7))/SUMPRODUCT((평가!C27:P27&lt;&gt;"")*(평가!C7:P7&lt;&gt;"")),"")</f>
        <v/>
      </c>
      <c r="D26" s="19">
        <f>IFERROR(SUMPRODUCT((평가!C27:P27&lt;&gt;"")*(평가!C8:P8&lt;&gt;"")*(평가!C27:P27=평가!C8:P8))/SUMPRODUCT((평가!C27:P27&lt;&gt;"")*(평가!C8:P8&lt;&gt;"")),"")</f>
        <v/>
      </c>
      <c r="E26" s="19">
        <f>IFERROR(SUMPRODUCT((평가!C27:P27&lt;&gt;"")*(평가!C9:P9&lt;&gt;"")*(평가!C27:P27=평가!C9:P9))/SUMPRODUCT((평가!C27:P27&lt;&gt;"")*(평가!C9:P9&lt;&gt;"")),"")</f>
        <v/>
      </c>
      <c r="F26" s="19">
        <f>IFERROR(SUMPRODUCT((평가!C27:P27&lt;&gt;"")*(평가!C10:P10&lt;&gt;"")*(평가!C27:P27=평가!C10:P10))/SUMPRODUCT((평가!C27:P27&lt;&gt;"")*(평가!C10:P10&lt;&gt;"")),"")</f>
        <v/>
      </c>
      <c r="G26" s="19">
        <f>IFERROR(SUMPRODUCT((평가!C27:P27&lt;&gt;"")*(평가!C11:P11&lt;&gt;"")*(평가!C27:P27=평가!C11:P11))/SUMPRODUCT((평가!C27:P27&lt;&gt;"")*(평가!C11:P11&lt;&gt;"")),"")</f>
        <v/>
      </c>
      <c r="H26" s="19">
        <f>IFERROR(SUMPRODUCT((평가!C27:P27&lt;&gt;"")*(평가!C12:P12&lt;&gt;"")*(평가!C27:P27=평가!C12:P12))/SUMPRODUCT((평가!C27:P27&lt;&gt;"")*(평가!C12:P12&lt;&gt;"")),"")</f>
        <v/>
      </c>
      <c r="I26" s="19">
        <f>IFERROR(SUMPRODUCT((평가!C27:P27&lt;&gt;"")*(평가!C13:P13&lt;&gt;"")*(평가!C27:P27=평가!C13:P13))/SUMPRODUCT((평가!C27:P27&lt;&gt;"")*(평가!C13:P13&lt;&gt;"")),"")</f>
        <v/>
      </c>
      <c r="J26" s="19">
        <f>IFERROR(SUMPRODUCT((평가!C27:P27&lt;&gt;"")*(평가!C14:P14&lt;&gt;"")*(평가!C27:P27=평가!C14:P14))/SUMPRODUCT((평가!C27:P27&lt;&gt;"")*(평가!C14:P14&lt;&gt;"")),"")</f>
        <v/>
      </c>
      <c r="K26" s="19">
        <f>IFERROR(SUMPRODUCT((평가!C27:P27&lt;&gt;"")*(평가!C15:P15&lt;&gt;"")*(평가!C27:P27=평가!C15:P15))/SUMPRODUCT((평가!C27:P27&lt;&gt;"")*(평가!C15:P15&lt;&gt;"")),"")</f>
        <v/>
      </c>
      <c r="L26" s="19">
        <f>IFERROR(SUMPRODUCT((평가!C27:P27&lt;&gt;"")*(평가!C16:P16&lt;&gt;"")*(평가!C27:P27=평가!C16:P16))/SUMPRODUCT((평가!C27:P27&lt;&gt;"")*(평가!C16:P16&lt;&gt;"")),"")</f>
        <v/>
      </c>
      <c r="M26" s="19">
        <f>IFERROR(SUMPRODUCT((평가!C27:P27&lt;&gt;"")*(평가!C17:P17&lt;&gt;"")*(평가!C27:P27=평가!C17:P17))/SUMPRODUCT((평가!C27:P27&lt;&gt;"")*(평가!C17:P17&lt;&gt;"")),"")</f>
        <v/>
      </c>
      <c r="N26" s="19">
        <f>IFERROR(SUMPRODUCT((평가!C27:P27&lt;&gt;"")*(평가!C18:P18&lt;&gt;"")*(평가!C27:P27=평가!C18:P18))/SUMPRODUCT((평가!C27:P27&lt;&gt;"")*(평가!C18:P18&lt;&gt;"")),"")</f>
        <v/>
      </c>
      <c r="O26" s="19">
        <f>IFERROR(SUMPRODUCT((평가!C27:P27&lt;&gt;"")*(평가!C19:P19&lt;&gt;"")*(평가!C27:P27=평가!C19:P19))/SUMPRODUCT((평가!C27:P27&lt;&gt;"")*(평가!C19:P19&lt;&gt;"")),"")</f>
        <v/>
      </c>
      <c r="P26" s="19">
        <f>IFERROR(SUMPRODUCT((평가!C27:P27&lt;&gt;"")*(평가!C20:P20&lt;&gt;"")*(평가!C27:P27=평가!C20:P20))/SUMPRODUCT((평가!C27:P27&lt;&gt;"")*(평가!C20:P20&lt;&gt;"")),"")</f>
        <v/>
      </c>
      <c r="Q26" s="19">
        <f>IFERROR(SUMPRODUCT((평가!C27:P27&lt;&gt;"")*(평가!C21:P21&lt;&gt;"")*(평가!C27:P27=평가!C21:P21))/SUMPRODUCT((평가!C27:P27&lt;&gt;"")*(평가!C21:P21&lt;&gt;"")),"")</f>
        <v/>
      </c>
      <c r="R26" s="19">
        <f>IFERROR(SUMPRODUCT((평가!C27:P27&lt;&gt;"")*(평가!C22:P22&lt;&gt;"")*(평가!C27:P27=평가!C22:P22))/SUMPRODUCT((평가!C27:P27&lt;&gt;"")*(평가!C22:P22&lt;&gt;"")),"")</f>
        <v/>
      </c>
      <c r="S26" s="19">
        <f>IFERROR(SUMPRODUCT((평가!C27:P27&lt;&gt;"")*(평가!C23:P23&lt;&gt;"")*(평가!C27:P27=평가!C23:P23))/SUMPRODUCT((평가!C27:P27&lt;&gt;"")*(평가!C23:P23&lt;&gt;"")),"")</f>
        <v/>
      </c>
      <c r="T26" s="19">
        <f>IFERROR(SUMPRODUCT((평가!C27:P27&lt;&gt;"")*(평가!C24:P24&lt;&gt;"")*(평가!C27:P27=평가!C24:P24))/SUMPRODUCT((평가!C27:P27&lt;&gt;"")*(평가!C24:P24&lt;&gt;"")),"")</f>
        <v/>
      </c>
      <c r="U26" s="19">
        <f>IFERROR(SUMPRODUCT((평가!C27:P27&lt;&gt;"")*(평가!C25:P25&lt;&gt;"")*(평가!C27:P27=평가!C25:P25))/SUMPRODUCT((평가!C27:P27&lt;&gt;"")*(평가!C25:P25&lt;&gt;"")),"")</f>
        <v/>
      </c>
      <c r="V26" s="19">
        <f>IFERROR(SUMPRODUCT((평가!C27:P27&lt;&gt;"")*(평가!C26:P26&lt;&gt;"")*(평가!C27:P27=평가!C26:P26))/SUMPRODUCT((평가!C27:P27&lt;&gt;"")*(평가!C26:P26&lt;&gt;"")),"")</f>
        <v/>
      </c>
      <c r="W26" s="18">
        <f>"-"</f>
        <v/>
      </c>
      <c r="X26" s="19">
        <f>IFERROR(SUMPRODUCT((평가!C27:P27&lt;&gt;"")*(평가!C28:P28&lt;&gt;"")*(평가!C27:P27=평가!C28:P28))/SUMPRODUCT((평가!C27:P27&lt;&gt;"")*(평가!C28:P28&lt;&gt;"")),"")</f>
        <v/>
      </c>
      <c r="Y26" s="19">
        <f>IFERROR(SUMPRODUCT((평가!C27:P27&lt;&gt;"")*(평가!C29:P29&lt;&gt;"")*(평가!C27:P27=평가!C29:P29))/SUMPRODUCT((평가!C27:P27&lt;&gt;"")*(평가!C29:P29&lt;&gt;"")),"")</f>
        <v/>
      </c>
    </row>
    <row r="27" ht="18" customHeight="1">
      <c r="A27" s="14" t="inlineStr">
        <is>
          <t>응용통계학과</t>
        </is>
      </c>
      <c r="B27" s="19">
        <f>IFERROR(SUMPRODUCT((평가!C28:P28&lt;&gt;"")*(평가!C6:P6&lt;&gt;"")*(평가!C28:P28=평가!C6:P6))/SUMPRODUCT((평가!C28:P28&lt;&gt;"")*(평가!C6:P6&lt;&gt;"")),"")</f>
        <v/>
      </c>
      <c r="C27" s="19">
        <f>IFERROR(SUMPRODUCT((평가!C28:P28&lt;&gt;"")*(평가!C7:P7&lt;&gt;"")*(평가!C28:P28=평가!C7:P7))/SUMPRODUCT((평가!C28:P28&lt;&gt;"")*(평가!C7:P7&lt;&gt;"")),"")</f>
        <v/>
      </c>
      <c r="D27" s="19">
        <f>IFERROR(SUMPRODUCT((평가!C28:P28&lt;&gt;"")*(평가!C8:P8&lt;&gt;"")*(평가!C28:P28=평가!C8:P8))/SUMPRODUCT((평가!C28:P28&lt;&gt;"")*(평가!C8:P8&lt;&gt;"")),"")</f>
        <v/>
      </c>
      <c r="E27" s="19">
        <f>IFERROR(SUMPRODUCT((평가!C28:P28&lt;&gt;"")*(평가!C9:P9&lt;&gt;"")*(평가!C28:P28=평가!C9:P9))/SUMPRODUCT((평가!C28:P28&lt;&gt;"")*(평가!C9:P9&lt;&gt;"")),"")</f>
        <v/>
      </c>
      <c r="F27" s="19">
        <f>IFERROR(SUMPRODUCT((평가!C28:P28&lt;&gt;"")*(평가!C10:P10&lt;&gt;"")*(평가!C28:P28=평가!C10:P10))/SUMPRODUCT((평가!C28:P28&lt;&gt;"")*(평가!C10:P10&lt;&gt;"")),"")</f>
        <v/>
      </c>
      <c r="G27" s="19">
        <f>IFERROR(SUMPRODUCT((평가!C28:P28&lt;&gt;"")*(평가!C11:P11&lt;&gt;"")*(평가!C28:P28=평가!C11:P11))/SUMPRODUCT((평가!C28:P28&lt;&gt;"")*(평가!C11:P11&lt;&gt;"")),"")</f>
        <v/>
      </c>
      <c r="H27" s="19">
        <f>IFERROR(SUMPRODUCT((평가!C28:P28&lt;&gt;"")*(평가!C12:P12&lt;&gt;"")*(평가!C28:P28=평가!C12:P12))/SUMPRODUCT((평가!C28:P28&lt;&gt;"")*(평가!C12:P12&lt;&gt;"")),"")</f>
        <v/>
      </c>
      <c r="I27" s="19">
        <f>IFERROR(SUMPRODUCT((평가!C28:P28&lt;&gt;"")*(평가!C13:P13&lt;&gt;"")*(평가!C28:P28=평가!C13:P13))/SUMPRODUCT((평가!C28:P28&lt;&gt;"")*(평가!C13:P13&lt;&gt;"")),"")</f>
        <v/>
      </c>
      <c r="J27" s="19">
        <f>IFERROR(SUMPRODUCT((평가!C28:P28&lt;&gt;"")*(평가!C14:P14&lt;&gt;"")*(평가!C28:P28=평가!C14:P14))/SUMPRODUCT((평가!C28:P28&lt;&gt;"")*(평가!C14:P14&lt;&gt;"")),"")</f>
        <v/>
      </c>
      <c r="K27" s="19">
        <f>IFERROR(SUMPRODUCT((평가!C28:P28&lt;&gt;"")*(평가!C15:P15&lt;&gt;"")*(평가!C28:P28=평가!C15:P15))/SUMPRODUCT((평가!C28:P28&lt;&gt;"")*(평가!C15:P15&lt;&gt;"")),"")</f>
        <v/>
      </c>
      <c r="L27" s="19">
        <f>IFERROR(SUMPRODUCT((평가!C28:P28&lt;&gt;"")*(평가!C16:P16&lt;&gt;"")*(평가!C28:P28=평가!C16:P16))/SUMPRODUCT((평가!C28:P28&lt;&gt;"")*(평가!C16:P16&lt;&gt;"")),"")</f>
        <v/>
      </c>
      <c r="M27" s="19">
        <f>IFERROR(SUMPRODUCT((평가!C28:P28&lt;&gt;"")*(평가!C17:P17&lt;&gt;"")*(평가!C28:P28=평가!C17:P17))/SUMPRODUCT((평가!C28:P28&lt;&gt;"")*(평가!C17:P17&lt;&gt;"")),"")</f>
        <v/>
      </c>
      <c r="N27" s="19">
        <f>IFERROR(SUMPRODUCT((평가!C28:P28&lt;&gt;"")*(평가!C18:P18&lt;&gt;"")*(평가!C28:P28=평가!C18:P18))/SUMPRODUCT((평가!C28:P28&lt;&gt;"")*(평가!C18:P18&lt;&gt;"")),"")</f>
        <v/>
      </c>
      <c r="O27" s="19">
        <f>IFERROR(SUMPRODUCT((평가!C28:P28&lt;&gt;"")*(평가!C19:P19&lt;&gt;"")*(평가!C28:P28=평가!C19:P19))/SUMPRODUCT((평가!C28:P28&lt;&gt;"")*(평가!C19:P19&lt;&gt;"")),"")</f>
        <v/>
      </c>
      <c r="P27" s="19">
        <f>IFERROR(SUMPRODUCT((평가!C28:P28&lt;&gt;"")*(평가!C20:P20&lt;&gt;"")*(평가!C28:P28=평가!C20:P20))/SUMPRODUCT((평가!C28:P28&lt;&gt;"")*(평가!C20:P20&lt;&gt;"")),"")</f>
        <v/>
      </c>
      <c r="Q27" s="19">
        <f>IFERROR(SUMPRODUCT((평가!C28:P28&lt;&gt;"")*(평가!C21:P21&lt;&gt;"")*(평가!C28:P28=평가!C21:P21))/SUMPRODUCT((평가!C28:P28&lt;&gt;"")*(평가!C21:P21&lt;&gt;"")),"")</f>
        <v/>
      </c>
      <c r="R27" s="19">
        <f>IFERROR(SUMPRODUCT((평가!C28:P28&lt;&gt;"")*(평가!C22:P22&lt;&gt;"")*(평가!C28:P28=평가!C22:P22))/SUMPRODUCT((평가!C28:P28&lt;&gt;"")*(평가!C22:P22&lt;&gt;"")),"")</f>
        <v/>
      </c>
      <c r="S27" s="19">
        <f>IFERROR(SUMPRODUCT((평가!C28:P28&lt;&gt;"")*(평가!C23:P23&lt;&gt;"")*(평가!C28:P28=평가!C23:P23))/SUMPRODUCT((평가!C28:P28&lt;&gt;"")*(평가!C23:P23&lt;&gt;"")),"")</f>
        <v/>
      </c>
      <c r="T27" s="19">
        <f>IFERROR(SUMPRODUCT((평가!C28:P28&lt;&gt;"")*(평가!C24:P24&lt;&gt;"")*(평가!C28:P28=평가!C24:P24))/SUMPRODUCT((평가!C28:P28&lt;&gt;"")*(평가!C24:P24&lt;&gt;"")),"")</f>
        <v/>
      </c>
      <c r="U27" s="19">
        <f>IFERROR(SUMPRODUCT((평가!C28:P28&lt;&gt;"")*(평가!C25:P25&lt;&gt;"")*(평가!C28:P28=평가!C25:P25))/SUMPRODUCT((평가!C28:P28&lt;&gt;"")*(평가!C25:P25&lt;&gt;"")),"")</f>
        <v/>
      </c>
      <c r="V27" s="19">
        <f>IFERROR(SUMPRODUCT((평가!C28:P28&lt;&gt;"")*(평가!C26:P26&lt;&gt;"")*(평가!C28:P28=평가!C26:P26))/SUMPRODUCT((평가!C28:P28&lt;&gt;"")*(평가!C26:P26&lt;&gt;"")),"")</f>
        <v/>
      </c>
      <c r="W27" s="19">
        <f>IFERROR(SUMPRODUCT((평가!C28:P28&lt;&gt;"")*(평가!C27:P27&lt;&gt;"")*(평가!C28:P28=평가!C27:P27))/SUMPRODUCT((평가!C28:P28&lt;&gt;"")*(평가!C27:P27&lt;&gt;"")),"")</f>
        <v/>
      </c>
      <c r="X27" s="18">
        <f>"-"</f>
        <v/>
      </c>
      <c r="Y27" s="19">
        <f>IFERROR(SUMPRODUCT((평가!C28:P28&lt;&gt;"")*(평가!C29:P29&lt;&gt;"")*(평가!C28:P28=평가!C29:P29))/SUMPRODUCT((평가!C28:P28&lt;&gt;"")*(평가!C29:P29&lt;&gt;"")),"")</f>
        <v/>
      </c>
    </row>
    <row r="28" ht="18" customHeight="1">
      <c r="A28" s="14" t="inlineStr">
        <is>
          <t>컴퓨터공학과</t>
        </is>
      </c>
      <c r="B28" s="19">
        <f>IFERROR(SUMPRODUCT((평가!C29:P29&lt;&gt;"")*(평가!C6:P6&lt;&gt;"")*(평가!C29:P29=평가!C6:P6))/SUMPRODUCT((평가!C29:P29&lt;&gt;"")*(평가!C6:P6&lt;&gt;"")),"")</f>
        <v/>
      </c>
      <c r="C28" s="19">
        <f>IFERROR(SUMPRODUCT((평가!C29:P29&lt;&gt;"")*(평가!C7:P7&lt;&gt;"")*(평가!C29:P29=평가!C7:P7))/SUMPRODUCT((평가!C29:P29&lt;&gt;"")*(평가!C7:P7&lt;&gt;"")),"")</f>
        <v/>
      </c>
      <c r="D28" s="19">
        <f>IFERROR(SUMPRODUCT((평가!C29:P29&lt;&gt;"")*(평가!C8:P8&lt;&gt;"")*(평가!C29:P29=평가!C8:P8))/SUMPRODUCT((평가!C29:P29&lt;&gt;"")*(평가!C8:P8&lt;&gt;"")),"")</f>
        <v/>
      </c>
      <c r="E28" s="19">
        <f>IFERROR(SUMPRODUCT((평가!C29:P29&lt;&gt;"")*(평가!C9:P9&lt;&gt;"")*(평가!C29:P29=평가!C9:P9))/SUMPRODUCT((평가!C29:P29&lt;&gt;"")*(평가!C9:P9&lt;&gt;"")),"")</f>
        <v/>
      </c>
      <c r="F28" s="19">
        <f>IFERROR(SUMPRODUCT((평가!C29:P29&lt;&gt;"")*(평가!C10:P10&lt;&gt;"")*(평가!C29:P29=평가!C10:P10))/SUMPRODUCT((평가!C29:P29&lt;&gt;"")*(평가!C10:P10&lt;&gt;"")),"")</f>
        <v/>
      </c>
      <c r="G28" s="19">
        <f>IFERROR(SUMPRODUCT((평가!C29:P29&lt;&gt;"")*(평가!C11:P11&lt;&gt;"")*(평가!C29:P29=평가!C11:P11))/SUMPRODUCT((평가!C29:P29&lt;&gt;"")*(평가!C11:P11&lt;&gt;"")),"")</f>
        <v/>
      </c>
      <c r="H28" s="19">
        <f>IFERROR(SUMPRODUCT((평가!C29:P29&lt;&gt;"")*(평가!C12:P12&lt;&gt;"")*(평가!C29:P29=평가!C12:P12))/SUMPRODUCT((평가!C29:P29&lt;&gt;"")*(평가!C12:P12&lt;&gt;"")),"")</f>
        <v/>
      </c>
      <c r="I28" s="19">
        <f>IFERROR(SUMPRODUCT((평가!C29:P29&lt;&gt;"")*(평가!C13:P13&lt;&gt;"")*(평가!C29:P29=평가!C13:P13))/SUMPRODUCT((평가!C29:P29&lt;&gt;"")*(평가!C13:P13&lt;&gt;"")),"")</f>
        <v/>
      </c>
      <c r="J28" s="19">
        <f>IFERROR(SUMPRODUCT((평가!C29:P29&lt;&gt;"")*(평가!C14:P14&lt;&gt;"")*(평가!C29:P29=평가!C14:P14))/SUMPRODUCT((평가!C29:P29&lt;&gt;"")*(평가!C14:P14&lt;&gt;"")),"")</f>
        <v/>
      </c>
      <c r="K28" s="19">
        <f>IFERROR(SUMPRODUCT((평가!C29:P29&lt;&gt;"")*(평가!C15:P15&lt;&gt;"")*(평가!C29:P29=평가!C15:P15))/SUMPRODUCT((평가!C29:P29&lt;&gt;"")*(평가!C15:P15&lt;&gt;"")),"")</f>
        <v/>
      </c>
      <c r="L28" s="19">
        <f>IFERROR(SUMPRODUCT((평가!C29:P29&lt;&gt;"")*(평가!C16:P16&lt;&gt;"")*(평가!C29:P29=평가!C16:P16))/SUMPRODUCT((평가!C29:P29&lt;&gt;"")*(평가!C16:P16&lt;&gt;"")),"")</f>
        <v/>
      </c>
      <c r="M28" s="19">
        <f>IFERROR(SUMPRODUCT((평가!C29:P29&lt;&gt;"")*(평가!C17:P17&lt;&gt;"")*(평가!C29:P29=평가!C17:P17))/SUMPRODUCT((평가!C29:P29&lt;&gt;"")*(평가!C17:P17&lt;&gt;"")),"")</f>
        <v/>
      </c>
      <c r="N28" s="19">
        <f>IFERROR(SUMPRODUCT((평가!C29:P29&lt;&gt;"")*(평가!C18:P18&lt;&gt;"")*(평가!C29:P29=평가!C18:P18))/SUMPRODUCT((평가!C29:P29&lt;&gt;"")*(평가!C18:P18&lt;&gt;"")),"")</f>
        <v/>
      </c>
      <c r="O28" s="19">
        <f>IFERROR(SUMPRODUCT((평가!C29:P29&lt;&gt;"")*(평가!C19:P19&lt;&gt;"")*(평가!C29:P29=평가!C19:P19))/SUMPRODUCT((평가!C29:P29&lt;&gt;"")*(평가!C19:P19&lt;&gt;"")),"")</f>
        <v/>
      </c>
      <c r="P28" s="19">
        <f>IFERROR(SUMPRODUCT((평가!C29:P29&lt;&gt;"")*(평가!C20:P20&lt;&gt;"")*(평가!C29:P29=평가!C20:P20))/SUMPRODUCT((평가!C29:P29&lt;&gt;"")*(평가!C20:P20&lt;&gt;"")),"")</f>
        <v/>
      </c>
      <c r="Q28" s="19">
        <f>IFERROR(SUMPRODUCT((평가!C29:P29&lt;&gt;"")*(평가!C21:P21&lt;&gt;"")*(평가!C29:P29=평가!C21:P21))/SUMPRODUCT((평가!C29:P29&lt;&gt;"")*(평가!C21:P21&lt;&gt;"")),"")</f>
        <v/>
      </c>
      <c r="R28" s="19">
        <f>IFERROR(SUMPRODUCT((평가!C29:P29&lt;&gt;"")*(평가!C22:P22&lt;&gt;"")*(평가!C29:P29=평가!C22:P22))/SUMPRODUCT((평가!C29:P29&lt;&gt;"")*(평가!C22:P22&lt;&gt;"")),"")</f>
        <v/>
      </c>
      <c r="S28" s="19">
        <f>IFERROR(SUMPRODUCT((평가!C29:P29&lt;&gt;"")*(평가!C23:P23&lt;&gt;"")*(평가!C29:P29=평가!C23:P23))/SUMPRODUCT((평가!C29:P29&lt;&gt;"")*(평가!C23:P23&lt;&gt;"")),"")</f>
        <v/>
      </c>
      <c r="T28" s="19">
        <f>IFERROR(SUMPRODUCT((평가!C29:P29&lt;&gt;"")*(평가!C24:P24&lt;&gt;"")*(평가!C29:P29=평가!C24:P24))/SUMPRODUCT((평가!C29:P29&lt;&gt;"")*(평가!C24:P24&lt;&gt;"")),"")</f>
        <v/>
      </c>
      <c r="U28" s="19">
        <f>IFERROR(SUMPRODUCT((평가!C29:P29&lt;&gt;"")*(평가!C25:P25&lt;&gt;"")*(평가!C29:P29=평가!C25:P25))/SUMPRODUCT((평가!C29:P29&lt;&gt;"")*(평가!C25:P25&lt;&gt;"")),"")</f>
        <v/>
      </c>
      <c r="V28" s="19">
        <f>IFERROR(SUMPRODUCT((평가!C29:P29&lt;&gt;"")*(평가!C26:P26&lt;&gt;"")*(평가!C29:P29=평가!C26:P26))/SUMPRODUCT((평가!C29:P29&lt;&gt;"")*(평가!C26:P26&lt;&gt;"")),"")</f>
        <v/>
      </c>
      <c r="W28" s="19">
        <f>IFERROR(SUMPRODUCT((평가!C29:P29&lt;&gt;"")*(평가!C27:P27&lt;&gt;"")*(평가!C29:P29=평가!C27:P27))/SUMPRODUCT((평가!C29:P29&lt;&gt;"")*(평가!C27:P27&lt;&gt;"")),"")</f>
        <v/>
      </c>
      <c r="X28" s="19">
        <f>IFERROR(SUMPRODUCT((평가!C29:P29&lt;&gt;"")*(평가!C28:P28&lt;&gt;"")*(평가!C29:P29=평가!C28:P28))/SUMPRODUCT((평가!C29:P29&lt;&gt;"")*(평가!C28:P28&lt;&gt;"")),"")</f>
        <v/>
      </c>
      <c r="Y28" s="18">
        <f>"-"</f>
        <v/>
      </c>
    </row>
  </sheetData>
  <mergeCells count="2">
    <mergeCell ref="A2:Y2"/>
    <mergeCell ref="A1: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:D1"/>
    </sheetView>
  </sheetViews>
  <sheetFormatPr baseColWidth="8" defaultColWidth="8.7109375" defaultRowHeight="15"/>
  <cols>
    <col width="8" customWidth="1" min="1" max="1"/>
    <col width="22" customWidth="1" min="2" max="2"/>
    <col width="14" customWidth="1" min="3" max="3"/>
    <col width="45" customWidth="1" min="4" max="4"/>
  </cols>
  <sheetData>
    <row r="1" ht="34.5" customHeight="1">
      <c r="A1" s="31" t="inlineStr">
        <is>
          <t>학과 상세 정보 (참고용 — 평가자는 가급적 열람하지 마세요)</t>
        </is>
      </c>
    </row>
    <row r="2" ht="45" customHeight="1">
      <c r="A2" s="32" t="inlineStr">
        <is>
          <t>⚠️ 이 시트의 "전통적 분류"는 평가 판단을 유도할 수 있습니다. 선생님의 독립적 직관 판단이 연구 목적상 가장 중요하므로, 정말 판단이 어려운 학과에 한해서만 열람해주시기 바랍니다.</t>
        </is>
      </c>
    </row>
    <row r="4" ht="24.75" customHeight="1">
      <c r="A4" s="5" t="inlineStr">
        <is>
          <t>번호</t>
        </is>
      </c>
      <c r="B4" s="5" t="inlineStr">
        <is>
          <t>학과명</t>
        </is>
      </c>
      <c r="C4" s="5" t="inlineStr">
        <is>
          <t>전통적 분류</t>
        </is>
      </c>
      <c r="D4" s="5" t="inlineStr">
        <is>
          <t>간단 설명</t>
        </is>
      </c>
    </row>
    <row r="5" ht="19.5" customHeight="1">
      <c r="A5" s="6" t="n">
        <v>20</v>
      </c>
      <c r="B5" s="7" t="inlineStr">
        <is>
          <t>간호학과</t>
        </is>
      </c>
      <c r="C5" s="15" t="inlineStr">
        <is>
          <t>의약</t>
        </is>
      </c>
      <c r="D5" s="16" t="inlineStr">
        <is>
          <t>간호 실무</t>
        </is>
      </c>
    </row>
    <row r="6" ht="19.5" customHeight="1">
      <c r="A6" s="15" t="n">
        <v>1</v>
      </c>
      <c r="B6" s="7" t="inlineStr">
        <is>
          <t>건축학과</t>
        </is>
      </c>
      <c r="C6" s="15" t="inlineStr">
        <is>
          <t>공학/예술</t>
        </is>
      </c>
      <c r="D6" s="16" t="inlineStr">
        <is>
          <t>건축 설계 (5년제 다수)</t>
        </is>
      </c>
    </row>
    <row r="7" ht="19.5" customHeight="1">
      <c r="A7" s="15" t="n">
        <v>11</v>
      </c>
      <c r="B7" s="7" t="inlineStr">
        <is>
          <t>경영학과</t>
        </is>
      </c>
      <c r="C7" s="15" t="inlineStr">
        <is>
          <t>사회</t>
        </is>
      </c>
      <c r="D7" s="16" t="inlineStr">
        <is>
          <t>기업경영, 마케팅, 재무</t>
        </is>
      </c>
    </row>
    <row r="8" ht="19.5" customHeight="1">
      <c r="A8" s="15" t="n">
        <v>14</v>
      </c>
      <c r="B8" s="7" t="inlineStr">
        <is>
          <t>경제학과</t>
        </is>
      </c>
      <c r="C8" s="15" t="inlineStr">
        <is>
          <t>사회</t>
        </is>
      </c>
      <c r="D8" s="16" t="inlineStr">
        <is>
          <t>경제 이론, 계량경제</t>
        </is>
      </c>
    </row>
    <row r="9" ht="19.5" customHeight="1">
      <c r="A9" s="15" t="n">
        <v>2</v>
      </c>
      <c r="B9" s="7" t="inlineStr">
        <is>
          <t>국어국문학과</t>
        </is>
      </c>
      <c r="C9" s="15" t="inlineStr">
        <is>
          <t>인문</t>
        </is>
      </c>
      <c r="D9" s="16" t="inlineStr">
        <is>
          <t>국어국문학 연구, 문학/언어학</t>
        </is>
      </c>
    </row>
    <row r="10" ht="19.5" customHeight="1">
      <c r="A10" s="15" t="n">
        <v>4</v>
      </c>
      <c r="B10" s="7" t="inlineStr">
        <is>
          <t>기계공학과</t>
        </is>
      </c>
      <c r="C10" s="15" t="inlineStr">
        <is>
          <t>공학</t>
        </is>
      </c>
      <c r="D10" s="16" t="inlineStr">
        <is>
          <t>기계 설계, 역학</t>
        </is>
      </c>
    </row>
    <row r="11" ht="19.5" customHeight="1">
      <c r="A11" s="15" t="n">
        <v>18</v>
      </c>
      <c r="B11" s="7" t="inlineStr">
        <is>
          <t>디자인학과</t>
        </is>
      </c>
      <c r="C11" s="15" t="inlineStr">
        <is>
          <t>예체능</t>
        </is>
      </c>
      <c r="D11" s="16" t="inlineStr">
        <is>
          <t>시각디자인, 산업디자인</t>
        </is>
      </c>
    </row>
    <row r="12" ht="19.5" customHeight="1">
      <c r="A12" s="15" t="n">
        <v>16</v>
      </c>
      <c r="B12" s="7" t="inlineStr">
        <is>
          <t>미디어커뮤니케이션학과</t>
        </is>
      </c>
      <c r="C12" s="15" t="inlineStr">
        <is>
          <t>사회/인문</t>
        </is>
      </c>
      <c r="D12" s="16" t="inlineStr">
        <is>
          <t>언론, 미디어, 홍보</t>
        </is>
      </c>
    </row>
    <row r="13" ht="19.5" customHeight="1">
      <c r="A13" s="15" t="n">
        <v>22</v>
      </c>
      <c r="B13" s="7" t="inlineStr">
        <is>
          <t>사학과</t>
        </is>
      </c>
      <c r="C13" s="15" t="inlineStr">
        <is>
          <t>인문</t>
        </is>
      </c>
      <c r="D13" s="16" t="inlineStr">
        <is>
          <t>역사 연구, 사료 분석</t>
        </is>
      </c>
    </row>
    <row r="14" ht="19.5" customHeight="1">
      <c r="A14" s="15" t="n">
        <v>13</v>
      </c>
      <c r="B14" s="7" t="inlineStr">
        <is>
          <t>사회학과</t>
        </is>
      </c>
      <c r="C14" s="15" t="inlineStr">
        <is>
          <t>사회</t>
        </is>
      </c>
      <c r="D14" s="16" t="inlineStr">
        <is>
          <t>사회구조/현상 연구</t>
        </is>
      </c>
    </row>
    <row r="15" ht="19.5" customHeight="1">
      <c r="A15" s="15" t="n">
        <v>6</v>
      </c>
      <c r="B15" s="7" t="inlineStr">
        <is>
          <t>산업공학과</t>
        </is>
      </c>
      <c r="C15" s="15" t="inlineStr">
        <is>
          <t>공학/사회</t>
        </is>
      </c>
      <c r="D15" s="16" t="inlineStr">
        <is>
          <t>산업시스템, 경영공학</t>
        </is>
      </c>
    </row>
    <row r="16" ht="19.5" customHeight="1">
      <c r="A16" s="15" t="n">
        <v>15</v>
      </c>
      <c r="B16" s="7" t="inlineStr">
        <is>
          <t>생명과학과</t>
        </is>
      </c>
      <c r="C16" s="15" t="inlineStr">
        <is>
          <t>자연</t>
        </is>
      </c>
      <c r="D16" s="16" t="inlineStr">
        <is>
          <t>생명 현상 연구</t>
        </is>
      </c>
    </row>
    <row r="17" ht="19.5" customHeight="1">
      <c r="A17" s="15" t="n">
        <v>10</v>
      </c>
      <c r="B17" s="7" t="inlineStr">
        <is>
          <t>수학과</t>
        </is>
      </c>
      <c r="C17" s="15" t="inlineStr">
        <is>
          <t>자연</t>
        </is>
      </c>
      <c r="D17" s="16" t="inlineStr">
        <is>
          <t>순수수학, 수리과학</t>
        </is>
      </c>
    </row>
    <row r="18" ht="19.5" customHeight="1">
      <c r="A18" s="15" t="n">
        <v>19</v>
      </c>
      <c r="B18" s="7" t="inlineStr">
        <is>
          <t>식품영양학과</t>
        </is>
      </c>
      <c r="C18" s="15" t="inlineStr">
        <is>
          <t>자연/의약</t>
        </is>
      </c>
      <c r="D18" s="16" t="inlineStr">
        <is>
          <t>식품학, 영양학</t>
        </is>
      </c>
    </row>
    <row r="19" ht="19.5" customHeight="1">
      <c r="A19" s="15" t="n">
        <v>7</v>
      </c>
      <c r="B19" s="7" t="inlineStr">
        <is>
          <t>신소재공학과</t>
        </is>
      </c>
      <c r="C19" s="15" t="inlineStr">
        <is>
          <t>공학</t>
        </is>
      </c>
      <c r="D19" s="16" t="inlineStr">
        <is>
          <t>재료, 반도체 소재</t>
        </is>
      </c>
    </row>
    <row r="20" ht="19.5" customHeight="1">
      <c r="A20" s="15" t="n">
        <v>3</v>
      </c>
      <c r="B20" s="7" t="inlineStr">
        <is>
          <t>심리학과</t>
        </is>
      </c>
      <c r="C20" s="15" t="inlineStr">
        <is>
          <t>사회/자연</t>
        </is>
      </c>
      <c r="D20" s="16" t="inlineStr">
        <is>
          <t>심리 연구, 상담</t>
        </is>
      </c>
    </row>
    <row r="21" ht="19.5" customHeight="1">
      <c r="A21" s="15" t="n">
        <v>12</v>
      </c>
      <c r="B21" s="7" t="inlineStr">
        <is>
          <t>약학과</t>
        </is>
      </c>
      <c r="C21" s="15" t="inlineStr">
        <is>
          <t>의약</t>
        </is>
      </c>
      <c r="D21" s="16" t="inlineStr">
        <is>
          <t>약학, 제약 (6년제)</t>
        </is>
      </c>
    </row>
    <row r="22" ht="19.5" customHeight="1">
      <c r="A22" s="15" t="n">
        <v>23</v>
      </c>
      <c r="B22" s="7" t="inlineStr">
        <is>
          <t>응용통계학과</t>
        </is>
      </c>
      <c r="C22" s="15" t="inlineStr">
        <is>
          <t>자연/사회</t>
        </is>
      </c>
      <c r="D22" s="16" t="inlineStr">
        <is>
          <t>통계 이론 및 응용</t>
        </is>
      </c>
    </row>
    <row r="23" ht="19.5" customHeight="1">
      <c r="A23" s="15" t="n">
        <v>9</v>
      </c>
      <c r="B23" s="7" t="inlineStr">
        <is>
          <t>의예과</t>
        </is>
      </c>
      <c r="C23" s="15" t="inlineStr">
        <is>
          <t>의약</t>
        </is>
      </c>
      <c r="D23" s="16" t="inlineStr">
        <is>
          <t>의학 (예과 2년 + 본과 4년)</t>
        </is>
      </c>
    </row>
    <row r="24" ht="19.5" customHeight="1">
      <c r="A24" s="15" t="n">
        <v>21</v>
      </c>
      <c r="B24" s="7" t="inlineStr">
        <is>
          <t>전기전자공학과</t>
        </is>
      </c>
      <c r="C24" s="15" t="inlineStr">
        <is>
          <t>공학</t>
        </is>
      </c>
      <c r="D24" s="16" t="inlineStr">
        <is>
          <t>전기/전자 회로, 반도체</t>
        </is>
      </c>
    </row>
    <row r="25" ht="19.5" customHeight="1">
      <c r="A25" s="15" t="n">
        <v>8</v>
      </c>
      <c r="B25" s="7" t="inlineStr">
        <is>
          <t>조선해양공학과</t>
        </is>
      </c>
      <c r="C25" s="15" t="inlineStr">
        <is>
          <t>공학</t>
        </is>
      </c>
      <c r="D25" s="16" t="inlineStr">
        <is>
          <t>선박/해양구조물 설계</t>
        </is>
      </c>
    </row>
    <row r="26" ht="19.5" customHeight="1">
      <c r="A26" s="15" t="n">
        <v>24</v>
      </c>
      <c r="B26" s="7" t="inlineStr">
        <is>
          <t>컴퓨터공학과</t>
        </is>
      </c>
      <c r="C26" s="15" t="inlineStr">
        <is>
          <t>공학</t>
        </is>
      </c>
      <c r="D26" s="16" t="inlineStr">
        <is>
          <t>소프트웨어, 알고리즘</t>
        </is>
      </c>
    </row>
    <row r="27" ht="19.5" customHeight="1">
      <c r="A27" s="15" t="n">
        <v>17</v>
      </c>
      <c r="B27" s="7" t="inlineStr">
        <is>
          <t>화학공학과</t>
        </is>
      </c>
      <c r="C27" s="15" t="inlineStr">
        <is>
          <t>공학</t>
        </is>
      </c>
      <c r="D27" s="16" t="inlineStr">
        <is>
          <t>화학 공정, 석유화학</t>
        </is>
      </c>
    </row>
    <row r="28" ht="19.5" customHeight="1">
      <c r="A28" s="15" t="n">
        <v>5</v>
      </c>
      <c r="B28" s="7" t="inlineStr">
        <is>
          <t>화학과</t>
        </is>
      </c>
      <c r="C28" s="15" t="inlineStr">
        <is>
          <t>자연</t>
        </is>
      </c>
      <c r="D28" s="16" t="inlineStr">
        <is>
          <t>순수 화학 연구, 화학 이론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9"/>
  <sheetViews>
    <sheetView topLeftCell="A7" workbookViewId="0">
      <pane ySplit="3" topLeftCell="A4" activePane="bottomLeft" state="frozen"/>
      <selection pane="bottomLeft" activeCell="G4" sqref="G4"/>
    </sheetView>
  </sheetViews>
  <sheetFormatPr baseColWidth="8" defaultRowHeight="15"/>
  <cols>
    <col width="9" customWidth="1" min="1" max="1"/>
    <col width="22" customWidth="1" min="2" max="3"/>
    <col width="22" customWidth="1" min="3" max="3"/>
    <col width="10" customWidth="1" min="4" max="4"/>
    <col width="10" customWidth="1" min="5" max="5"/>
    <col width="11" customWidth="1" min="6" max="8"/>
    <col width="10" customWidth="1" min="7" max="7"/>
    <col width="16" customWidth="1" min="8" max="8"/>
    <col width="16" customWidth="1" min="9" max="11"/>
    <col width="18" customWidth="1" min="10" max="10"/>
    <col width="15" customWidth="1" min="11" max="11"/>
    <col width="18" customWidth="1" min="12" max="12"/>
    <col width="36" customWidth="1" min="13" max="13"/>
  </cols>
  <sheetData>
    <row r="1">
      <c r="A1" t="inlineStr">
        <is>
          <t>분석용 학과쌍 데이터 — expert consensus와 알고리즘 유사도 병합용</t>
        </is>
      </c>
    </row>
    <row r="2">
      <c r="A2" t="inlineStr">
        <is>
          <t>※ F~H열은 평가 입력 후 자동 계산됩니다. I~K열에는 raw course similarity, text embedding similarity, 기존 분류 동일 여부를 나중에 붙이면 됩니다.</t>
        </is>
      </c>
    </row>
    <row r="3">
      <c r="A3" s="43" t="inlineStr">
        <is>
          <t>pair_id</t>
        </is>
      </c>
      <c r="B3" s="43" t="inlineStr">
        <is>
          <t>Dept A</t>
        </is>
      </c>
      <c r="C3" s="43" t="inlineStr">
        <is>
          <t>Dept B</t>
        </is>
      </c>
      <c r="D3" s="43" t="inlineStr">
        <is>
          <t>Row A</t>
        </is>
      </c>
      <c r="E3" s="43" t="inlineStr">
        <is>
          <t>Row B</t>
        </is>
      </c>
      <c r="F3" s="43" t="inlineStr">
        <is>
          <t>Valid N</t>
        </is>
      </c>
      <c r="G3" s="43" t="inlineStr">
        <is>
          <t>Co-sorted N</t>
        </is>
      </c>
      <c r="H3" s="43" t="inlineStr">
        <is>
          <t>Expert consensus</t>
        </is>
      </c>
      <c r="I3" s="43" t="inlineStr">
        <is>
          <t>Course similarity</t>
        </is>
      </c>
      <c r="J3" s="43" t="inlineStr">
        <is>
          <t>Cluster co-membership</t>
        </is>
      </c>
      <c r="K3" s="43" t="inlineStr">
        <is>
          <t>Score difference</t>
        </is>
      </c>
      <c r="L3" s="43" t="inlineStr">
        <is>
          <t>Mismatch type</t>
        </is>
      </c>
      <c r="M3" s="43" t="inlineStr">
        <is>
          <t>Interpretation memo</t>
        </is>
      </c>
    </row>
    <row r="4">
      <c r="A4" t="n">
        <v>1</v>
      </c>
      <c r="B4" t="inlineStr">
        <is>
          <t>건축학과</t>
        </is>
      </c>
      <c r="C4" t="inlineStr">
        <is>
          <t>국어국문학과</t>
        </is>
      </c>
      <c r="D4" t="n">
        <v>6</v>
      </c>
      <c r="E4" t="n">
        <v>7</v>
      </c>
      <c r="F4" s="48">
        <f>SUMPRODUCT(('평가'!C6:P6&lt;&gt;"")*('평가'!C7:P7&lt;&gt;""))</f>
        <v/>
      </c>
      <c r="G4" s="48">
        <f>SUMPRODUCT(('평가'!C6:P6&lt;&gt;"")*('평가'!C7:P7&lt;&gt;"")*('평가'!C6:P6='평가'!C7:P7))</f>
        <v/>
      </c>
      <c r="H4" s="49">
        <f>IF(F4=0,"",G4/F4)</f>
        <v/>
      </c>
      <c r="I4" s="46" t="n"/>
      <c r="J4" s="46" t="n"/>
      <c r="K4" s="46" t="n"/>
      <c r="L4" s="46" t="n"/>
      <c r="M4" s="46" t="n"/>
    </row>
    <row r="5">
      <c r="A5" t="n">
        <v>2</v>
      </c>
      <c r="B5" t="inlineStr">
        <is>
          <t>건축학과</t>
        </is>
      </c>
      <c r="C5" t="inlineStr">
        <is>
          <t>심리학과</t>
        </is>
      </c>
      <c r="D5" t="n">
        <v>6</v>
      </c>
      <c r="E5" t="n">
        <v>8</v>
      </c>
      <c r="F5" s="48">
        <f>SUMPRODUCT(('평가'!C6:P6&lt;&gt;"")*('평가'!C8:P8&lt;&gt;""))</f>
        <v/>
      </c>
      <c r="G5" s="48">
        <f>SUMPRODUCT(('평가'!C6:P6&lt;&gt;"")*('평가'!C8:P8&lt;&gt;"")*('평가'!C6:P6='평가'!C8:P8))</f>
        <v/>
      </c>
      <c r="H5" s="49">
        <f>IF(F5=0,"",G5/F5)</f>
        <v/>
      </c>
      <c r="I5" s="46" t="n"/>
      <c r="J5" s="46" t="n"/>
      <c r="K5" s="46" t="n"/>
      <c r="L5" s="46" t="n"/>
      <c r="M5" s="46" t="n"/>
    </row>
    <row r="6">
      <c r="A6" t="n">
        <v>3</v>
      </c>
      <c r="B6" t="inlineStr">
        <is>
          <t>건축학과</t>
        </is>
      </c>
      <c r="C6" t="inlineStr">
        <is>
          <t>기계공학과</t>
        </is>
      </c>
      <c r="D6" t="n">
        <v>6</v>
      </c>
      <c r="E6" t="n">
        <v>9</v>
      </c>
      <c r="F6" s="48">
        <f>SUMPRODUCT(('평가'!C6:P6&lt;&gt;"")*('평가'!C9:P9&lt;&gt;""))</f>
        <v/>
      </c>
      <c r="G6" s="48">
        <f>SUMPRODUCT(('평가'!C6:P6&lt;&gt;"")*('평가'!C9:P9&lt;&gt;"")*('평가'!C6:P6='평가'!C9:P9))</f>
        <v/>
      </c>
      <c r="H6" s="49">
        <f>IF(F6=0,"",G6/F6)</f>
        <v/>
      </c>
      <c r="I6" s="46" t="n"/>
      <c r="J6" s="46" t="n"/>
      <c r="K6" s="46" t="n"/>
      <c r="L6" s="46" t="n"/>
      <c r="M6" s="46" t="n"/>
    </row>
    <row r="7">
      <c r="A7" t="n">
        <v>4</v>
      </c>
      <c r="B7" t="inlineStr">
        <is>
          <t>건축학과</t>
        </is>
      </c>
      <c r="C7" t="inlineStr">
        <is>
          <t>화학과</t>
        </is>
      </c>
      <c r="D7" t="n">
        <v>6</v>
      </c>
      <c r="E7" t="n">
        <v>10</v>
      </c>
      <c r="F7" s="48">
        <f>SUMPRODUCT(('평가'!C6:P6&lt;&gt;"")*('평가'!C10:P10&lt;&gt;""))</f>
        <v/>
      </c>
      <c r="G7" s="48">
        <f>SUMPRODUCT(('평가'!C6:P6&lt;&gt;"")*('평가'!C10:P10&lt;&gt;"")*('평가'!C6:P6='평가'!C10:P10))</f>
        <v/>
      </c>
      <c r="H7" s="49">
        <f>IF(F7=0,"",G7/F7)</f>
        <v/>
      </c>
      <c r="I7" s="46" t="n"/>
      <c r="J7" s="46" t="n"/>
      <c r="K7" s="46" t="n"/>
      <c r="L7" s="46" t="n"/>
      <c r="M7" s="46" t="n"/>
    </row>
    <row r="8">
      <c r="A8" t="n">
        <v>5</v>
      </c>
      <c r="B8" t="inlineStr">
        <is>
          <t>건축학과</t>
        </is>
      </c>
      <c r="C8" t="inlineStr">
        <is>
          <t>산업공학과</t>
        </is>
      </c>
      <c r="D8" t="n">
        <v>6</v>
      </c>
      <c r="E8" t="n">
        <v>11</v>
      </c>
      <c r="F8" s="48">
        <f>SUMPRODUCT(('평가'!C6:P6&lt;&gt;"")*('평가'!C11:P11&lt;&gt;""))</f>
        <v/>
      </c>
      <c r="G8" s="48">
        <f>SUMPRODUCT(('평가'!C6:P6&lt;&gt;"")*('평가'!C11:P11&lt;&gt;"")*('평가'!C6:P6='평가'!C11:P11))</f>
        <v/>
      </c>
      <c r="H8" s="49">
        <f>IF(F8=0,"",G8/F8)</f>
        <v/>
      </c>
      <c r="I8" s="46" t="n"/>
      <c r="J8" s="46" t="n"/>
      <c r="K8" s="46" t="n"/>
      <c r="L8" s="46" t="n"/>
      <c r="M8" s="46" t="n"/>
    </row>
    <row r="9">
      <c r="A9" t="n">
        <v>6</v>
      </c>
      <c r="B9" t="inlineStr">
        <is>
          <t>건축학과</t>
        </is>
      </c>
      <c r="C9" t="inlineStr">
        <is>
          <t>신소재공학과</t>
        </is>
      </c>
      <c r="D9" t="n">
        <v>6</v>
      </c>
      <c r="E9" t="n">
        <v>12</v>
      </c>
      <c r="F9" s="48">
        <f>SUMPRODUCT(('평가'!C6:P6&lt;&gt;"")*('평가'!C12:P12&lt;&gt;""))</f>
        <v/>
      </c>
      <c r="G9" s="48">
        <f>SUMPRODUCT(('평가'!C6:P6&lt;&gt;"")*('평가'!C12:P12&lt;&gt;"")*('평가'!C6:P6='평가'!C12:P12))</f>
        <v/>
      </c>
      <c r="H9" s="49">
        <f>IF(F9=0,"",G9/F9)</f>
        <v/>
      </c>
      <c r="I9" s="46" t="n"/>
      <c r="J9" s="46" t="n"/>
      <c r="K9" s="46" t="n"/>
      <c r="L9" s="46" t="n"/>
      <c r="M9" s="46" t="n"/>
    </row>
    <row r="10">
      <c r="A10" t="n">
        <v>7</v>
      </c>
      <c r="B10" t="inlineStr">
        <is>
          <t>건축학과</t>
        </is>
      </c>
      <c r="C10" t="inlineStr">
        <is>
          <t>조선해양공학과</t>
        </is>
      </c>
      <c r="D10" t="n">
        <v>6</v>
      </c>
      <c r="E10" t="n">
        <v>13</v>
      </c>
      <c r="F10" s="48">
        <f>SUMPRODUCT(('평가'!C6:P6&lt;&gt;"")*('평가'!C13:P13&lt;&gt;""))</f>
        <v/>
      </c>
      <c r="G10" s="48">
        <f>SUMPRODUCT(('평가'!C6:P6&lt;&gt;"")*('평가'!C13:P13&lt;&gt;"")*('평가'!C6:P6='평가'!C13:P13))</f>
        <v/>
      </c>
      <c r="H10" s="49">
        <f>IF(F10=0,"",G10/F10)</f>
        <v/>
      </c>
      <c r="I10" s="46" t="n"/>
      <c r="J10" s="46" t="n"/>
      <c r="K10" s="46" t="n"/>
      <c r="L10" s="46" t="n"/>
      <c r="M10" s="46" t="n"/>
    </row>
    <row r="11">
      <c r="A11" t="n">
        <v>8</v>
      </c>
      <c r="B11" t="inlineStr">
        <is>
          <t>건축학과</t>
        </is>
      </c>
      <c r="C11" t="inlineStr">
        <is>
          <t>의예과</t>
        </is>
      </c>
      <c r="D11" t="n">
        <v>6</v>
      </c>
      <c r="E11" t="n">
        <v>14</v>
      </c>
      <c r="F11" s="48">
        <f>SUMPRODUCT(('평가'!C6:P6&lt;&gt;"")*('평가'!C14:P14&lt;&gt;""))</f>
        <v/>
      </c>
      <c r="G11" s="48">
        <f>SUMPRODUCT(('평가'!C6:P6&lt;&gt;"")*('평가'!C14:P14&lt;&gt;"")*('평가'!C6:P6='평가'!C14:P14))</f>
        <v/>
      </c>
      <c r="H11" s="49">
        <f>IF(F11=0,"",G11/F11)</f>
        <v/>
      </c>
      <c r="I11" s="46" t="n"/>
      <c r="J11" s="46" t="n"/>
      <c r="K11" s="46" t="n"/>
      <c r="L11" s="46" t="n"/>
      <c r="M11" s="46" t="n"/>
    </row>
    <row r="12">
      <c r="A12" t="n">
        <v>9</v>
      </c>
      <c r="B12" t="inlineStr">
        <is>
          <t>건축학과</t>
        </is>
      </c>
      <c r="C12" t="inlineStr">
        <is>
          <t>수학과</t>
        </is>
      </c>
      <c r="D12" t="n">
        <v>6</v>
      </c>
      <c r="E12" t="n">
        <v>15</v>
      </c>
      <c r="F12" s="48">
        <f>SUMPRODUCT(('평가'!C6:P6&lt;&gt;"")*('평가'!C15:P15&lt;&gt;""))</f>
        <v/>
      </c>
      <c r="G12" s="48">
        <f>SUMPRODUCT(('평가'!C6:P6&lt;&gt;"")*('평가'!C15:P15&lt;&gt;"")*('평가'!C6:P6='평가'!C15:P15))</f>
        <v/>
      </c>
      <c r="H12" s="49">
        <f>IF(F12=0,"",G12/F12)</f>
        <v/>
      </c>
      <c r="I12" s="46" t="n"/>
      <c r="J12" s="46" t="n"/>
      <c r="K12" s="46" t="n"/>
      <c r="L12" s="46" t="n"/>
      <c r="M12" s="46" t="n"/>
    </row>
    <row r="13">
      <c r="A13" t="n">
        <v>10</v>
      </c>
      <c r="B13" t="inlineStr">
        <is>
          <t>건축학과</t>
        </is>
      </c>
      <c r="C13" t="inlineStr">
        <is>
          <t>경영학과</t>
        </is>
      </c>
      <c r="D13" t="n">
        <v>6</v>
      </c>
      <c r="E13" t="n">
        <v>16</v>
      </c>
      <c r="F13" s="48">
        <f>SUMPRODUCT(('평가'!C6:P6&lt;&gt;"")*('평가'!C16:P16&lt;&gt;""))</f>
        <v/>
      </c>
      <c r="G13" s="48">
        <f>SUMPRODUCT(('평가'!C6:P6&lt;&gt;"")*('평가'!C16:P16&lt;&gt;"")*('평가'!C6:P6='평가'!C16:P16))</f>
        <v/>
      </c>
      <c r="H13" s="49">
        <f>IF(F13=0,"",G13/F13)</f>
        <v/>
      </c>
      <c r="I13" s="46" t="n"/>
      <c r="J13" s="46" t="n"/>
      <c r="K13" s="46" t="n"/>
      <c r="L13" s="46" t="n"/>
      <c r="M13" s="46" t="n"/>
    </row>
    <row r="14">
      <c r="A14" t="n">
        <v>11</v>
      </c>
      <c r="B14" t="inlineStr">
        <is>
          <t>건축학과</t>
        </is>
      </c>
      <c r="C14" t="inlineStr">
        <is>
          <t>약학과</t>
        </is>
      </c>
      <c r="D14" t="n">
        <v>6</v>
      </c>
      <c r="E14" t="n">
        <v>17</v>
      </c>
      <c r="F14" s="48">
        <f>SUMPRODUCT(('평가'!C6:P6&lt;&gt;"")*('평가'!C17:P17&lt;&gt;""))</f>
        <v/>
      </c>
      <c r="G14" s="48">
        <f>SUMPRODUCT(('평가'!C6:P6&lt;&gt;"")*('평가'!C17:P17&lt;&gt;"")*('평가'!C6:P6='평가'!C17:P17))</f>
        <v/>
      </c>
      <c r="H14" s="49">
        <f>IF(F14=0,"",G14/F14)</f>
        <v/>
      </c>
      <c r="I14" s="46" t="n"/>
      <c r="J14" s="46" t="n"/>
      <c r="K14" s="46" t="n"/>
      <c r="L14" s="46" t="n"/>
      <c r="M14" s="46" t="n"/>
    </row>
    <row r="15">
      <c r="A15" t="n">
        <v>12</v>
      </c>
      <c r="B15" t="inlineStr">
        <is>
          <t>건축학과</t>
        </is>
      </c>
      <c r="C15" t="inlineStr">
        <is>
          <t>사회학과</t>
        </is>
      </c>
      <c r="D15" t="n">
        <v>6</v>
      </c>
      <c r="E15" t="n">
        <v>18</v>
      </c>
      <c r="F15" s="48">
        <f>SUMPRODUCT(('평가'!C6:P6&lt;&gt;"")*('평가'!C18:P18&lt;&gt;""))</f>
        <v/>
      </c>
      <c r="G15" s="48">
        <f>SUMPRODUCT(('평가'!C6:P6&lt;&gt;"")*('평가'!C18:P18&lt;&gt;"")*('평가'!C6:P6='평가'!C18:P18))</f>
        <v/>
      </c>
      <c r="H15" s="49">
        <f>IF(F15=0,"",G15/F15)</f>
        <v/>
      </c>
      <c r="I15" s="46" t="n"/>
      <c r="J15" s="46" t="n"/>
      <c r="K15" s="46" t="n"/>
      <c r="L15" s="46" t="n"/>
      <c r="M15" s="46" t="n"/>
    </row>
    <row r="16">
      <c r="A16" t="n">
        <v>13</v>
      </c>
      <c r="B16" t="inlineStr">
        <is>
          <t>건축학과</t>
        </is>
      </c>
      <c r="C16" t="inlineStr">
        <is>
          <t>경제학과</t>
        </is>
      </c>
      <c r="D16" t="n">
        <v>6</v>
      </c>
      <c r="E16" t="n">
        <v>19</v>
      </c>
      <c r="F16" s="48">
        <f>SUMPRODUCT(('평가'!C6:P6&lt;&gt;"")*('평가'!C19:P19&lt;&gt;""))</f>
        <v/>
      </c>
      <c r="G16" s="48">
        <f>SUMPRODUCT(('평가'!C6:P6&lt;&gt;"")*('평가'!C19:P19&lt;&gt;"")*('평가'!C6:P6='평가'!C19:P19))</f>
        <v/>
      </c>
      <c r="H16" s="49">
        <f>IF(F16=0,"",G16/F16)</f>
        <v/>
      </c>
      <c r="I16" s="46" t="n"/>
      <c r="J16" s="46" t="n"/>
      <c r="K16" s="46" t="n"/>
      <c r="L16" s="46" t="n"/>
      <c r="M16" s="46" t="n"/>
    </row>
    <row r="17">
      <c r="A17" t="n">
        <v>14</v>
      </c>
      <c r="B17" t="inlineStr">
        <is>
          <t>건축학과</t>
        </is>
      </c>
      <c r="C17" t="inlineStr">
        <is>
          <t>생명과학과</t>
        </is>
      </c>
      <c r="D17" t="n">
        <v>6</v>
      </c>
      <c r="E17" t="n">
        <v>20</v>
      </c>
      <c r="F17" s="48">
        <f>SUMPRODUCT(('평가'!C6:P6&lt;&gt;"")*('평가'!C20:P20&lt;&gt;""))</f>
        <v/>
      </c>
      <c r="G17" s="48">
        <f>SUMPRODUCT(('평가'!C6:P6&lt;&gt;"")*('평가'!C20:P20&lt;&gt;"")*('평가'!C6:P6='평가'!C20:P20))</f>
        <v/>
      </c>
      <c r="H17" s="49">
        <f>IF(F17=0,"",G17/F17)</f>
        <v/>
      </c>
      <c r="I17" s="46" t="n"/>
      <c r="J17" s="46" t="n"/>
      <c r="K17" s="46" t="n"/>
      <c r="L17" s="46" t="n"/>
      <c r="M17" s="46" t="n"/>
    </row>
    <row r="18">
      <c r="A18" t="n">
        <v>15</v>
      </c>
      <c r="B18" t="inlineStr">
        <is>
          <t>건축학과</t>
        </is>
      </c>
      <c r="C18" t="inlineStr">
        <is>
          <t>미디어커뮤니케이션학과</t>
        </is>
      </c>
      <c r="D18" t="n">
        <v>6</v>
      </c>
      <c r="E18" t="n">
        <v>21</v>
      </c>
      <c r="F18" s="48">
        <f>SUMPRODUCT(('평가'!C6:P6&lt;&gt;"")*('평가'!C21:P21&lt;&gt;""))</f>
        <v/>
      </c>
      <c r="G18" s="48">
        <f>SUMPRODUCT(('평가'!C6:P6&lt;&gt;"")*('평가'!C21:P21&lt;&gt;"")*('평가'!C6:P6='평가'!C21:P21))</f>
        <v/>
      </c>
      <c r="H18" s="49">
        <f>IF(F18=0,"",G18/F18)</f>
        <v/>
      </c>
      <c r="I18" s="46" t="n"/>
      <c r="J18" s="46" t="n"/>
      <c r="K18" s="46" t="n"/>
      <c r="L18" s="46" t="n"/>
      <c r="M18" s="46" t="n"/>
    </row>
    <row r="19">
      <c r="A19" t="n">
        <v>16</v>
      </c>
      <c r="B19" t="inlineStr">
        <is>
          <t>건축학과</t>
        </is>
      </c>
      <c r="C19" t="inlineStr">
        <is>
          <t>화학공학과</t>
        </is>
      </c>
      <c r="D19" t="n">
        <v>6</v>
      </c>
      <c r="E19" t="n">
        <v>22</v>
      </c>
      <c r="F19" s="48">
        <f>SUMPRODUCT(('평가'!C6:P6&lt;&gt;"")*('평가'!C22:P22&lt;&gt;""))</f>
        <v/>
      </c>
      <c r="G19" s="48">
        <f>SUMPRODUCT(('평가'!C6:P6&lt;&gt;"")*('평가'!C22:P22&lt;&gt;"")*('평가'!C6:P6='평가'!C22:P22))</f>
        <v/>
      </c>
      <c r="H19" s="49">
        <f>IF(F19=0,"",G19/F19)</f>
        <v/>
      </c>
      <c r="I19" s="46" t="n"/>
      <c r="J19" s="46" t="n"/>
      <c r="K19" s="46" t="n"/>
      <c r="L19" s="46" t="n"/>
      <c r="M19" s="46" t="n"/>
    </row>
    <row r="20">
      <c r="A20" t="n">
        <v>17</v>
      </c>
      <c r="B20" t="inlineStr">
        <is>
          <t>건축학과</t>
        </is>
      </c>
      <c r="C20" t="inlineStr">
        <is>
          <t>디자인학과</t>
        </is>
      </c>
      <c r="D20" t="n">
        <v>6</v>
      </c>
      <c r="E20" t="n">
        <v>23</v>
      </c>
      <c r="F20" s="48">
        <f>SUMPRODUCT(('평가'!C6:P6&lt;&gt;"")*('평가'!C23:P23&lt;&gt;""))</f>
        <v/>
      </c>
      <c r="G20" s="48">
        <f>SUMPRODUCT(('평가'!C6:P6&lt;&gt;"")*('평가'!C23:P23&lt;&gt;"")*('평가'!C6:P6='평가'!C23:P23))</f>
        <v/>
      </c>
      <c r="H20" s="49">
        <f>IF(F20=0,"",G20/F20)</f>
        <v/>
      </c>
      <c r="I20" s="46" t="n"/>
      <c r="J20" s="46" t="n"/>
      <c r="K20" s="46" t="n"/>
      <c r="L20" s="46" t="n"/>
      <c r="M20" s="46" t="n"/>
    </row>
    <row r="21">
      <c r="A21" t="n">
        <v>18</v>
      </c>
      <c r="B21" t="inlineStr">
        <is>
          <t>건축학과</t>
        </is>
      </c>
      <c r="C21" t="inlineStr">
        <is>
          <t>식품영양학과</t>
        </is>
      </c>
      <c r="D21" t="n">
        <v>6</v>
      </c>
      <c r="E21" t="n">
        <v>24</v>
      </c>
      <c r="F21" s="48">
        <f>SUMPRODUCT(('평가'!C6:P6&lt;&gt;"")*('평가'!C24:P24&lt;&gt;""))</f>
        <v/>
      </c>
      <c r="G21" s="48">
        <f>SUMPRODUCT(('평가'!C6:P6&lt;&gt;"")*('평가'!C24:P24&lt;&gt;"")*('평가'!C6:P6='평가'!C24:P24))</f>
        <v/>
      </c>
      <c r="H21" s="49">
        <f>IF(F21=0,"",G21/F21)</f>
        <v/>
      </c>
      <c r="I21" s="46" t="n"/>
      <c r="J21" s="46" t="n"/>
      <c r="K21" s="46" t="n"/>
      <c r="L21" s="46" t="n"/>
      <c r="M21" s="46" t="n"/>
    </row>
    <row r="22">
      <c r="A22" t="n">
        <v>19</v>
      </c>
      <c r="B22" t="inlineStr">
        <is>
          <t>건축학과</t>
        </is>
      </c>
      <c r="C22" t="inlineStr">
        <is>
          <t>간호학과</t>
        </is>
      </c>
      <c r="D22" t="n">
        <v>6</v>
      </c>
      <c r="E22" t="n">
        <v>25</v>
      </c>
      <c r="F22" s="48">
        <f>SUMPRODUCT(('평가'!C6:P6&lt;&gt;"")*('평가'!C25:P25&lt;&gt;""))</f>
        <v/>
      </c>
      <c r="G22" s="48">
        <f>SUMPRODUCT(('평가'!C6:P6&lt;&gt;"")*('평가'!C25:P25&lt;&gt;"")*('평가'!C6:P6='평가'!C25:P25))</f>
        <v/>
      </c>
      <c r="H22" s="49">
        <f>IF(F22=0,"",G22/F22)</f>
        <v/>
      </c>
      <c r="I22" s="46" t="n"/>
      <c r="J22" s="46" t="n"/>
      <c r="K22" s="46" t="n"/>
      <c r="L22" s="46" t="n"/>
      <c r="M22" s="46" t="n"/>
    </row>
    <row r="23">
      <c r="A23" t="n">
        <v>20</v>
      </c>
      <c r="B23" t="inlineStr">
        <is>
          <t>건축학과</t>
        </is>
      </c>
      <c r="C23" t="inlineStr">
        <is>
          <t>전기전자공학과</t>
        </is>
      </c>
      <c r="D23" t="n">
        <v>6</v>
      </c>
      <c r="E23" t="n">
        <v>26</v>
      </c>
      <c r="F23" s="48">
        <f>SUMPRODUCT(('평가'!C6:P6&lt;&gt;"")*('평가'!C26:P26&lt;&gt;""))</f>
        <v/>
      </c>
      <c r="G23" s="48">
        <f>SUMPRODUCT(('평가'!C6:P6&lt;&gt;"")*('평가'!C26:P26&lt;&gt;"")*('평가'!C6:P6='평가'!C26:P26))</f>
        <v/>
      </c>
      <c r="H23" s="49">
        <f>IF(F23=0,"",G23/F23)</f>
        <v/>
      </c>
      <c r="I23" s="46" t="n"/>
      <c r="J23" s="46" t="n"/>
      <c r="K23" s="46" t="n"/>
      <c r="L23" s="46" t="n"/>
      <c r="M23" s="46" t="n"/>
    </row>
    <row r="24">
      <c r="A24" t="n">
        <v>21</v>
      </c>
      <c r="B24" t="inlineStr">
        <is>
          <t>건축학과</t>
        </is>
      </c>
      <c r="C24" t="inlineStr">
        <is>
          <t>사학과</t>
        </is>
      </c>
      <c r="D24" t="n">
        <v>6</v>
      </c>
      <c r="E24" t="n">
        <v>27</v>
      </c>
      <c r="F24" s="48">
        <f>SUMPRODUCT(('평가'!C6:P6&lt;&gt;"")*('평가'!C27:P27&lt;&gt;""))</f>
        <v/>
      </c>
      <c r="G24" s="48">
        <f>SUMPRODUCT(('평가'!C6:P6&lt;&gt;"")*('평가'!C27:P27&lt;&gt;"")*('평가'!C6:P6='평가'!C27:P27))</f>
        <v/>
      </c>
      <c r="H24" s="49">
        <f>IF(F24=0,"",G24/F24)</f>
        <v/>
      </c>
      <c r="I24" s="46" t="n"/>
      <c r="J24" s="46" t="n"/>
      <c r="K24" s="46" t="n"/>
      <c r="L24" s="46" t="n"/>
      <c r="M24" s="46" t="n"/>
    </row>
    <row r="25">
      <c r="A25" t="n">
        <v>22</v>
      </c>
      <c r="B25" t="inlineStr">
        <is>
          <t>건축학과</t>
        </is>
      </c>
      <c r="C25" t="inlineStr">
        <is>
          <t>응용통계학과</t>
        </is>
      </c>
      <c r="D25" t="n">
        <v>6</v>
      </c>
      <c r="E25" t="n">
        <v>28</v>
      </c>
      <c r="F25" s="48">
        <f>SUMPRODUCT(('평가'!C6:P6&lt;&gt;"")*('평가'!C28:P28&lt;&gt;""))</f>
        <v/>
      </c>
      <c r="G25" s="48">
        <f>SUMPRODUCT(('평가'!C6:P6&lt;&gt;"")*('평가'!C28:P28&lt;&gt;"")*('평가'!C6:P6='평가'!C28:P28))</f>
        <v/>
      </c>
      <c r="H25" s="49">
        <f>IF(F25=0,"",G25/F25)</f>
        <v/>
      </c>
      <c r="I25" s="46" t="n"/>
      <c r="J25" s="46" t="n"/>
      <c r="K25" s="46" t="n"/>
      <c r="L25" s="46" t="n"/>
      <c r="M25" s="46" t="n"/>
    </row>
    <row r="26">
      <c r="A26" t="n">
        <v>23</v>
      </c>
      <c r="B26" t="inlineStr">
        <is>
          <t>건축학과</t>
        </is>
      </c>
      <c r="C26" t="inlineStr">
        <is>
          <t>컴퓨터공학과</t>
        </is>
      </c>
      <c r="D26" t="n">
        <v>6</v>
      </c>
      <c r="E26" t="n">
        <v>29</v>
      </c>
      <c r="F26" s="48">
        <f>SUMPRODUCT(('평가'!C6:P6&lt;&gt;"")*('평가'!C29:P29&lt;&gt;""))</f>
        <v/>
      </c>
      <c r="G26" s="48">
        <f>SUMPRODUCT(('평가'!C6:P6&lt;&gt;"")*('평가'!C29:P29&lt;&gt;"")*('평가'!C6:P6='평가'!C29:P29))</f>
        <v/>
      </c>
      <c r="H26" s="49">
        <f>IF(F26=0,"",G26/F26)</f>
        <v/>
      </c>
      <c r="I26" s="46" t="n"/>
      <c r="J26" s="46" t="n"/>
      <c r="K26" s="46" t="n"/>
      <c r="L26" s="46" t="n"/>
      <c r="M26" s="46" t="n"/>
    </row>
    <row r="27">
      <c r="A27" t="n">
        <v>24</v>
      </c>
      <c r="B27" t="inlineStr">
        <is>
          <t>국어국문학과</t>
        </is>
      </c>
      <c r="C27" t="inlineStr">
        <is>
          <t>심리학과</t>
        </is>
      </c>
      <c r="D27" t="n">
        <v>7</v>
      </c>
      <c r="E27" t="n">
        <v>8</v>
      </c>
      <c r="F27" s="48">
        <f>SUMPRODUCT(('평가'!C7:P7&lt;&gt;"")*('평가'!C8:P8&lt;&gt;""))</f>
        <v/>
      </c>
      <c r="G27" s="48">
        <f>SUMPRODUCT(('평가'!C7:P7&lt;&gt;"")*('평가'!C8:P8&lt;&gt;"")*('평가'!C7:P7='평가'!C8:P8))</f>
        <v/>
      </c>
      <c r="H27" s="49">
        <f>IF(F27=0,"",G27/F27)</f>
        <v/>
      </c>
      <c r="I27" s="46" t="n"/>
      <c r="J27" s="46" t="n"/>
      <c r="K27" s="46" t="n"/>
      <c r="L27" s="46" t="n"/>
      <c r="M27" s="46" t="n"/>
    </row>
    <row r="28">
      <c r="A28" t="n">
        <v>25</v>
      </c>
      <c r="B28" t="inlineStr">
        <is>
          <t>국어국문학과</t>
        </is>
      </c>
      <c r="C28" t="inlineStr">
        <is>
          <t>기계공학과</t>
        </is>
      </c>
      <c r="D28" t="n">
        <v>7</v>
      </c>
      <c r="E28" t="n">
        <v>9</v>
      </c>
      <c r="F28" s="48">
        <f>SUMPRODUCT(('평가'!C7:P7&lt;&gt;"")*('평가'!C9:P9&lt;&gt;""))</f>
        <v/>
      </c>
      <c r="G28" s="48">
        <f>SUMPRODUCT(('평가'!C7:P7&lt;&gt;"")*('평가'!C9:P9&lt;&gt;"")*('평가'!C7:P7='평가'!C9:P9))</f>
        <v/>
      </c>
      <c r="H28" s="49">
        <f>IF(F28=0,"",G28/F28)</f>
        <v/>
      </c>
      <c r="I28" s="46" t="n"/>
      <c r="J28" s="46" t="n"/>
      <c r="K28" s="46" t="n"/>
      <c r="L28" s="46" t="n"/>
      <c r="M28" s="46" t="n"/>
    </row>
    <row r="29">
      <c r="A29" t="n">
        <v>26</v>
      </c>
      <c r="B29" t="inlineStr">
        <is>
          <t>국어국문학과</t>
        </is>
      </c>
      <c r="C29" t="inlineStr">
        <is>
          <t>화학과</t>
        </is>
      </c>
      <c r="D29" t="n">
        <v>7</v>
      </c>
      <c r="E29" t="n">
        <v>10</v>
      </c>
      <c r="F29" s="48">
        <f>SUMPRODUCT(('평가'!C7:P7&lt;&gt;"")*('평가'!C10:P10&lt;&gt;""))</f>
        <v/>
      </c>
      <c r="G29" s="48">
        <f>SUMPRODUCT(('평가'!C7:P7&lt;&gt;"")*('평가'!C10:P10&lt;&gt;"")*('평가'!C7:P7='평가'!C10:P10))</f>
        <v/>
      </c>
      <c r="H29" s="49">
        <f>IF(F29=0,"",G29/F29)</f>
        <v/>
      </c>
      <c r="I29" s="46" t="n"/>
      <c r="J29" s="46" t="n"/>
      <c r="K29" s="46" t="n"/>
      <c r="L29" s="46" t="n"/>
      <c r="M29" s="46" t="n"/>
    </row>
    <row r="30">
      <c r="A30" t="n">
        <v>27</v>
      </c>
      <c r="B30" t="inlineStr">
        <is>
          <t>국어국문학과</t>
        </is>
      </c>
      <c r="C30" t="inlineStr">
        <is>
          <t>산업공학과</t>
        </is>
      </c>
      <c r="D30" t="n">
        <v>7</v>
      </c>
      <c r="E30" t="n">
        <v>11</v>
      </c>
      <c r="F30" s="48">
        <f>SUMPRODUCT(('평가'!C7:P7&lt;&gt;"")*('평가'!C11:P11&lt;&gt;""))</f>
        <v/>
      </c>
      <c r="G30" s="48">
        <f>SUMPRODUCT(('평가'!C7:P7&lt;&gt;"")*('평가'!C11:P11&lt;&gt;"")*('평가'!C7:P7='평가'!C11:P11))</f>
        <v/>
      </c>
      <c r="H30" s="49">
        <f>IF(F30=0,"",G30/F30)</f>
        <v/>
      </c>
      <c r="I30" s="46" t="n"/>
      <c r="J30" s="46" t="n"/>
      <c r="K30" s="46" t="n"/>
      <c r="L30" s="46" t="n"/>
      <c r="M30" s="46" t="n"/>
    </row>
    <row r="31">
      <c r="A31" t="n">
        <v>28</v>
      </c>
      <c r="B31" t="inlineStr">
        <is>
          <t>국어국문학과</t>
        </is>
      </c>
      <c r="C31" t="inlineStr">
        <is>
          <t>신소재공학과</t>
        </is>
      </c>
      <c r="D31" t="n">
        <v>7</v>
      </c>
      <c r="E31" t="n">
        <v>12</v>
      </c>
      <c r="F31" s="48">
        <f>SUMPRODUCT(('평가'!C7:P7&lt;&gt;"")*('평가'!C12:P12&lt;&gt;""))</f>
        <v/>
      </c>
      <c r="G31" s="48">
        <f>SUMPRODUCT(('평가'!C7:P7&lt;&gt;"")*('평가'!C12:P12&lt;&gt;"")*('평가'!C7:P7='평가'!C12:P12))</f>
        <v/>
      </c>
      <c r="H31" s="49">
        <f>IF(F31=0,"",G31/F31)</f>
        <v/>
      </c>
      <c r="I31" s="46" t="n"/>
      <c r="J31" s="46" t="n"/>
      <c r="K31" s="46" t="n"/>
      <c r="L31" s="46" t="n"/>
      <c r="M31" s="46" t="n"/>
    </row>
    <row r="32">
      <c r="A32" t="n">
        <v>29</v>
      </c>
      <c r="B32" t="inlineStr">
        <is>
          <t>국어국문학과</t>
        </is>
      </c>
      <c r="C32" t="inlineStr">
        <is>
          <t>조선해양공학과</t>
        </is>
      </c>
      <c r="D32" t="n">
        <v>7</v>
      </c>
      <c r="E32" t="n">
        <v>13</v>
      </c>
      <c r="F32" s="48">
        <f>SUMPRODUCT(('평가'!C7:P7&lt;&gt;"")*('평가'!C13:P13&lt;&gt;""))</f>
        <v/>
      </c>
      <c r="G32" s="48">
        <f>SUMPRODUCT(('평가'!C7:P7&lt;&gt;"")*('평가'!C13:P13&lt;&gt;"")*('평가'!C7:P7='평가'!C13:P13))</f>
        <v/>
      </c>
      <c r="H32" s="49">
        <f>IF(F32=0,"",G32/F32)</f>
        <v/>
      </c>
      <c r="I32" s="46" t="n"/>
      <c r="J32" s="46" t="n"/>
      <c r="K32" s="46" t="n"/>
      <c r="L32" s="46" t="n"/>
      <c r="M32" s="46" t="n"/>
    </row>
    <row r="33">
      <c r="A33" t="n">
        <v>30</v>
      </c>
      <c r="B33" t="inlineStr">
        <is>
          <t>국어국문학과</t>
        </is>
      </c>
      <c r="C33" t="inlineStr">
        <is>
          <t>의예과</t>
        </is>
      </c>
      <c r="D33" t="n">
        <v>7</v>
      </c>
      <c r="E33" t="n">
        <v>14</v>
      </c>
      <c r="F33" s="48">
        <f>SUMPRODUCT(('평가'!C7:P7&lt;&gt;"")*('평가'!C14:P14&lt;&gt;""))</f>
        <v/>
      </c>
      <c r="G33" s="48">
        <f>SUMPRODUCT(('평가'!C7:P7&lt;&gt;"")*('평가'!C14:P14&lt;&gt;"")*('평가'!C7:P7='평가'!C14:P14))</f>
        <v/>
      </c>
      <c r="H33" s="49">
        <f>IF(F33=0,"",G33/F33)</f>
        <v/>
      </c>
      <c r="I33" s="46" t="n"/>
      <c r="J33" s="46" t="n"/>
      <c r="K33" s="46" t="n"/>
      <c r="L33" s="46" t="n"/>
      <c r="M33" s="46" t="n"/>
    </row>
    <row r="34">
      <c r="A34" t="n">
        <v>31</v>
      </c>
      <c r="B34" t="inlineStr">
        <is>
          <t>국어국문학과</t>
        </is>
      </c>
      <c r="C34" t="inlineStr">
        <is>
          <t>수학과</t>
        </is>
      </c>
      <c r="D34" t="n">
        <v>7</v>
      </c>
      <c r="E34" t="n">
        <v>15</v>
      </c>
      <c r="F34" s="48">
        <f>SUMPRODUCT(('평가'!C7:P7&lt;&gt;"")*('평가'!C15:P15&lt;&gt;""))</f>
        <v/>
      </c>
      <c r="G34" s="48">
        <f>SUMPRODUCT(('평가'!C7:P7&lt;&gt;"")*('평가'!C15:P15&lt;&gt;"")*('평가'!C7:P7='평가'!C15:P15))</f>
        <v/>
      </c>
      <c r="H34" s="49">
        <f>IF(F34=0,"",G34/F34)</f>
        <v/>
      </c>
      <c r="I34" s="46" t="n"/>
      <c r="J34" s="46" t="n"/>
      <c r="K34" s="46" t="n"/>
      <c r="L34" s="46" t="n"/>
      <c r="M34" s="46" t="n"/>
    </row>
    <row r="35">
      <c r="A35" t="n">
        <v>32</v>
      </c>
      <c r="B35" t="inlineStr">
        <is>
          <t>국어국문학과</t>
        </is>
      </c>
      <c r="C35" t="inlineStr">
        <is>
          <t>경영학과</t>
        </is>
      </c>
      <c r="D35" t="n">
        <v>7</v>
      </c>
      <c r="E35" t="n">
        <v>16</v>
      </c>
      <c r="F35" s="48">
        <f>SUMPRODUCT(('평가'!C7:P7&lt;&gt;"")*('평가'!C16:P16&lt;&gt;""))</f>
        <v/>
      </c>
      <c r="G35" s="48">
        <f>SUMPRODUCT(('평가'!C7:P7&lt;&gt;"")*('평가'!C16:P16&lt;&gt;"")*('평가'!C7:P7='평가'!C16:P16))</f>
        <v/>
      </c>
      <c r="H35" s="49">
        <f>IF(F35=0,"",G35/F35)</f>
        <v/>
      </c>
      <c r="I35" s="46" t="n"/>
      <c r="J35" s="46" t="n"/>
      <c r="K35" s="46" t="n"/>
      <c r="L35" s="46" t="n"/>
      <c r="M35" s="46" t="n"/>
    </row>
    <row r="36">
      <c r="A36" t="n">
        <v>33</v>
      </c>
      <c r="B36" t="inlineStr">
        <is>
          <t>국어국문학과</t>
        </is>
      </c>
      <c r="C36" t="inlineStr">
        <is>
          <t>약학과</t>
        </is>
      </c>
      <c r="D36" t="n">
        <v>7</v>
      </c>
      <c r="E36" t="n">
        <v>17</v>
      </c>
      <c r="F36" s="48">
        <f>SUMPRODUCT(('평가'!C7:P7&lt;&gt;"")*('평가'!C17:P17&lt;&gt;""))</f>
        <v/>
      </c>
      <c r="G36" s="48">
        <f>SUMPRODUCT(('평가'!C7:P7&lt;&gt;"")*('평가'!C17:P17&lt;&gt;"")*('평가'!C7:P7='평가'!C17:P17))</f>
        <v/>
      </c>
      <c r="H36" s="49">
        <f>IF(F36=0,"",G36/F36)</f>
        <v/>
      </c>
      <c r="I36" s="46" t="n"/>
      <c r="J36" s="46" t="n"/>
      <c r="K36" s="46" t="n"/>
      <c r="L36" s="46" t="n"/>
      <c r="M36" s="46" t="n"/>
    </row>
    <row r="37">
      <c r="A37" t="n">
        <v>34</v>
      </c>
      <c r="B37" t="inlineStr">
        <is>
          <t>국어국문학과</t>
        </is>
      </c>
      <c r="C37" t="inlineStr">
        <is>
          <t>사회학과</t>
        </is>
      </c>
      <c r="D37" t="n">
        <v>7</v>
      </c>
      <c r="E37" t="n">
        <v>18</v>
      </c>
      <c r="F37" s="48">
        <f>SUMPRODUCT(('평가'!C7:P7&lt;&gt;"")*('평가'!C18:P18&lt;&gt;""))</f>
        <v/>
      </c>
      <c r="G37" s="48">
        <f>SUMPRODUCT(('평가'!C7:P7&lt;&gt;"")*('평가'!C18:P18&lt;&gt;"")*('평가'!C7:P7='평가'!C18:P18))</f>
        <v/>
      </c>
      <c r="H37" s="49">
        <f>IF(F37=0,"",G37/F37)</f>
        <v/>
      </c>
      <c r="I37" s="46" t="n"/>
      <c r="J37" s="46" t="n"/>
      <c r="K37" s="46" t="n"/>
      <c r="L37" s="46" t="n"/>
      <c r="M37" s="46" t="n"/>
    </row>
    <row r="38">
      <c r="A38" t="n">
        <v>35</v>
      </c>
      <c r="B38" t="inlineStr">
        <is>
          <t>국어국문학과</t>
        </is>
      </c>
      <c r="C38" t="inlineStr">
        <is>
          <t>경제학과</t>
        </is>
      </c>
      <c r="D38" t="n">
        <v>7</v>
      </c>
      <c r="E38" t="n">
        <v>19</v>
      </c>
      <c r="F38" s="48">
        <f>SUMPRODUCT(('평가'!C7:P7&lt;&gt;"")*('평가'!C19:P19&lt;&gt;""))</f>
        <v/>
      </c>
      <c r="G38" s="48">
        <f>SUMPRODUCT(('평가'!C7:P7&lt;&gt;"")*('평가'!C19:P19&lt;&gt;"")*('평가'!C7:P7='평가'!C19:P19))</f>
        <v/>
      </c>
      <c r="H38" s="49">
        <f>IF(F38=0,"",G38/F38)</f>
        <v/>
      </c>
      <c r="I38" s="46" t="n"/>
      <c r="J38" s="46" t="n"/>
      <c r="K38" s="46" t="n"/>
      <c r="L38" s="46" t="n"/>
      <c r="M38" s="46" t="n"/>
    </row>
    <row r="39">
      <c r="A39" t="n">
        <v>36</v>
      </c>
      <c r="B39" t="inlineStr">
        <is>
          <t>국어국문학과</t>
        </is>
      </c>
      <c r="C39" t="inlineStr">
        <is>
          <t>생명과학과</t>
        </is>
      </c>
      <c r="D39" t="n">
        <v>7</v>
      </c>
      <c r="E39" t="n">
        <v>20</v>
      </c>
      <c r="F39" s="48">
        <f>SUMPRODUCT(('평가'!C7:P7&lt;&gt;"")*('평가'!C20:P20&lt;&gt;""))</f>
        <v/>
      </c>
      <c r="G39" s="48">
        <f>SUMPRODUCT(('평가'!C7:P7&lt;&gt;"")*('평가'!C20:P20&lt;&gt;"")*('평가'!C7:P7='평가'!C20:P20))</f>
        <v/>
      </c>
      <c r="H39" s="49">
        <f>IF(F39=0,"",G39/F39)</f>
        <v/>
      </c>
      <c r="I39" s="46" t="n"/>
      <c r="J39" s="46" t="n"/>
      <c r="K39" s="46" t="n"/>
      <c r="L39" s="46" t="n"/>
      <c r="M39" s="46" t="n"/>
    </row>
    <row r="40">
      <c r="A40" t="n">
        <v>37</v>
      </c>
      <c r="B40" t="inlineStr">
        <is>
          <t>국어국문학과</t>
        </is>
      </c>
      <c r="C40" t="inlineStr">
        <is>
          <t>미디어커뮤니케이션학과</t>
        </is>
      </c>
      <c r="D40" t="n">
        <v>7</v>
      </c>
      <c r="E40" t="n">
        <v>21</v>
      </c>
      <c r="F40" s="48">
        <f>SUMPRODUCT(('평가'!C7:P7&lt;&gt;"")*('평가'!C21:P21&lt;&gt;""))</f>
        <v/>
      </c>
      <c r="G40" s="48">
        <f>SUMPRODUCT(('평가'!C7:P7&lt;&gt;"")*('평가'!C21:P21&lt;&gt;"")*('평가'!C7:P7='평가'!C21:P21))</f>
        <v/>
      </c>
      <c r="H40" s="49">
        <f>IF(F40=0,"",G40/F40)</f>
        <v/>
      </c>
      <c r="I40" s="46" t="n"/>
      <c r="J40" s="46" t="n"/>
      <c r="K40" s="46" t="n"/>
      <c r="L40" s="46" t="n"/>
      <c r="M40" s="46" t="n"/>
    </row>
    <row r="41">
      <c r="A41" t="n">
        <v>38</v>
      </c>
      <c r="B41" t="inlineStr">
        <is>
          <t>국어국문학과</t>
        </is>
      </c>
      <c r="C41" t="inlineStr">
        <is>
          <t>화학공학과</t>
        </is>
      </c>
      <c r="D41" t="n">
        <v>7</v>
      </c>
      <c r="E41" t="n">
        <v>22</v>
      </c>
      <c r="F41" s="48">
        <f>SUMPRODUCT(('평가'!C7:P7&lt;&gt;"")*('평가'!C22:P22&lt;&gt;""))</f>
        <v/>
      </c>
      <c r="G41" s="48">
        <f>SUMPRODUCT(('평가'!C7:P7&lt;&gt;"")*('평가'!C22:P22&lt;&gt;"")*('평가'!C7:P7='평가'!C22:P22))</f>
        <v/>
      </c>
      <c r="H41" s="49">
        <f>IF(F41=0,"",G41/F41)</f>
        <v/>
      </c>
      <c r="I41" s="46" t="n"/>
      <c r="J41" s="46" t="n"/>
      <c r="K41" s="46" t="n"/>
      <c r="L41" s="46" t="n"/>
      <c r="M41" s="46" t="n"/>
    </row>
    <row r="42">
      <c r="A42" t="n">
        <v>39</v>
      </c>
      <c r="B42" t="inlineStr">
        <is>
          <t>국어국문학과</t>
        </is>
      </c>
      <c r="C42" t="inlineStr">
        <is>
          <t>디자인학과</t>
        </is>
      </c>
      <c r="D42" t="n">
        <v>7</v>
      </c>
      <c r="E42" t="n">
        <v>23</v>
      </c>
      <c r="F42" s="48">
        <f>SUMPRODUCT(('평가'!C7:P7&lt;&gt;"")*('평가'!C23:P23&lt;&gt;""))</f>
        <v/>
      </c>
      <c r="G42" s="48">
        <f>SUMPRODUCT(('평가'!C7:P7&lt;&gt;"")*('평가'!C23:P23&lt;&gt;"")*('평가'!C7:P7='평가'!C23:P23))</f>
        <v/>
      </c>
      <c r="H42" s="49">
        <f>IF(F42=0,"",G42/F42)</f>
        <v/>
      </c>
      <c r="I42" s="46" t="n"/>
      <c r="J42" s="46" t="n"/>
      <c r="K42" s="46" t="n"/>
      <c r="L42" s="46" t="n"/>
      <c r="M42" s="46" t="n"/>
    </row>
    <row r="43">
      <c r="A43" t="n">
        <v>40</v>
      </c>
      <c r="B43" t="inlineStr">
        <is>
          <t>국어국문학과</t>
        </is>
      </c>
      <c r="C43" t="inlineStr">
        <is>
          <t>식품영양학과</t>
        </is>
      </c>
      <c r="D43" t="n">
        <v>7</v>
      </c>
      <c r="E43" t="n">
        <v>24</v>
      </c>
      <c r="F43" s="48">
        <f>SUMPRODUCT(('평가'!C7:P7&lt;&gt;"")*('평가'!C24:P24&lt;&gt;""))</f>
        <v/>
      </c>
      <c r="G43" s="48">
        <f>SUMPRODUCT(('평가'!C7:P7&lt;&gt;"")*('평가'!C24:P24&lt;&gt;"")*('평가'!C7:P7='평가'!C24:P24))</f>
        <v/>
      </c>
      <c r="H43" s="49">
        <f>IF(F43=0,"",G43/F43)</f>
        <v/>
      </c>
      <c r="I43" s="46" t="n"/>
      <c r="J43" s="46" t="n"/>
      <c r="K43" s="46" t="n"/>
      <c r="L43" s="46" t="n"/>
      <c r="M43" s="46" t="n"/>
    </row>
    <row r="44">
      <c r="A44" t="n">
        <v>41</v>
      </c>
      <c r="B44" t="inlineStr">
        <is>
          <t>국어국문학과</t>
        </is>
      </c>
      <c r="C44" t="inlineStr">
        <is>
          <t>간호학과</t>
        </is>
      </c>
      <c r="D44" t="n">
        <v>7</v>
      </c>
      <c r="E44" t="n">
        <v>25</v>
      </c>
      <c r="F44" s="48">
        <f>SUMPRODUCT(('평가'!C7:P7&lt;&gt;"")*('평가'!C25:P25&lt;&gt;""))</f>
        <v/>
      </c>
      <c r="G44" s="48">
        <f>SUMPRODUCT(('평가'!C7:P7&lt;&gt;"")*('평가'!C25:P25&lt;&gt;"")*('평가'!C7:P7='평가'!C25:P25))</f>
        <v/>
      </c>
      <c r="H44" s="49">
        <f>IF(F44=0,"",G44/F44)</f>
        <v/>
      </c>
      <c r="I44" s="46" t="n"/>
      <c r="J44" s="46" t="n"/>
      <c r="K44" s="46" t="n"/>
      <c r="L44" s="46" t="n"/>
      <c r="M44" s="46" t="n"/>
    </row>
    <row r="45">
      <c r="A45" t="n">
        <v>42</v>
      </c>
      <c r="B45" t="inlineStr">
        <is>
          <t>국어국문학과</t>
        </is>
      </c>
      <c r="C45" t="inlineStr">
        <is>
          <t>전기전자공학과</t>
        </is>
      </c>
      <c r="D45" t="n">
        <v>7</v>
      </c>
      <c r="E45" t="n">
        <v>26</v>
      </c>
      <c r="F45" s="48">
        <f>SUMPRODUCT(('평가'!C7:P7&lt;&gt;"")*('평가'!C26:P26&lt;&gt;""))</f>
        <v/>
      </c>
      <c r="G45" s="48">
        <f>SUMPRODUCT(('평가'!C7:P7&lt;&gt;"")*('평가'!C26:P26&lt;&gt;"")*('평가'!C7:P7='평가'!C26:P26))</f>
        <v/>
      </c>
      <c r="H45" s="49">
        <f>IF(F45=0,"",G45/F45)</f>
        <v/>
      </c>
      <c r="I45" s="46" t="n"/>
      <c r="J45" s="46" t="n"/>
      <c r="K45" s="46" t="n"/>
      <c r="L45" s="46" t="n"/>
      <c r="M45" s="46" t="n"/>
    </row>
    <row r="46">
      <c r="A46" t="n">
        <v>43</v>
      </c>
      <c r="B46" t="inlineStr">
        <is>
          <t>국어국문학과</t>
        </is>
      </c>
      <c r="C46" t="inlineStr">
        <is>
          <t>사학과</t>
        </is>
      </c>
      <c r="D46" t="n">
        <v>7</v>
      </c>
      <c r="E46" t="n">
        <v>27</v>
      </c>
      <c r="F46" s="48">
        <f>SUMPRODUCT(('평가'!C7:P7&lt;&gt;"")*('평가'!C27:P27&lt;&gt;""))</f>
        <v/>
      </c>
      <c r="G46" s="48">
        <f>SUMPRODUCT(('평가'!C7:P7&lt;&gt;"")*('평가'!C27:P27&lt;&gt;"")*('평가'!C7:P7='평가'!C27:P27))</f>
        <v/>
      </c>
      <c r="H46" s="49">
        <f>IF(F46=0,"",G46/F46)</f>
        <v/>
      </c>
      <c r="I46" s="46" t="n"/>
      <c r="J46" s="46" t="n"/>
      <c r="K46" s="46" t="n"/>
      <c r="L46" s="46" t="n"/>
      <c r="M46" s="46" t="n"/>
    </row>
    <row r="47">
      <c r="A47" t="n">
        <v>44</v>
      </c>
      <c r="B47" t="inlineStr">
        <is>
          <t>국어국문학과</t>
        </is>
      </c>
      <c r="C47" t="inlineStr">
        <is>
          <t>응용통계학과</t>
        </is>
      </c>
      <c r="D47" t="n">
        <v>7</v>
      </c>
      <c r="E47" t="n">
        <v>28</v>
      </c>
      <c r="F47" s="48">
        <f>SUMPRODUCT(('평가'!C7:P7&lt;&gt;"")*('평가'!C28:P28&lt;&gt;""))</f>
        <v/>
      </c>
      <c r="G47" s="48">
        <f>SUMPRODUCT(('평가'!C7:P7&lt;&gt;"")*('평가'!C28:P28&lt;&gt;"")*('평가'!C7:P7='평가'!C28:P28))</f>
        <v/>
      </c>
      <c r="H47" s="49">
        <f>IF(F47=0,"",G47/F47)</f>
        <v/>
      </c>
      <c r="I47" s="46" t="n"/>
      <c r="J47" s="46" t="n"/>
      <c r="K47" s="46" t="n"/>
      <c r="L47" s="46" t="n"/>
      <c r="M47" s="46" t="n"/>
    </row>
    <row r="48">
      <c r="A48" t="n">
        <v>45</v>
      </c>
      <c r="B48" t="inlineStr">
        <is>
          <t>국어국문학과</t>
        </is>
      </c>
      <c r="C48" t="inlineStr">
        <is>
          <t>컴퓨터공학과</t>
        </is>
      </c>
      <c r="D48" t="n">
        <v>7</v>
      </c>
      <c r="E48" t="n">
        <v>29</v>
      </c>
      <c r="F48" s="48">
        <f>SUMPRODUCT(('평가'!C7:P7&lt;&gt;"")*('평가'!C29:P29&lt;&gt;""))</f>
        <v/>
      </c>
      <c r="G48" s="48">
        <f>SUMPRODUCT(('평가'!C7:P7&lt;&gt;"")*('평가'!C29:P29&lt;&gt;"")*('평가'!C7:P7='평가'!C29:P29))</f>
        <v/>
      </c>
      <c r="H48" s="49">
        <f>IF(F48=0,"",G48/F48)</f>
        <v/>
      </c>
      <c r="I48" s="46" t="n"/>
      <c r="J48" s="46" t="n"/>
      <c r="K48" s="46" t="n"/>
      <c r="L48" s="46" t="n"/>
      <c r="M48" s="46" t="n"/>
    </row>
    <row r="49">
      <c r="A49" t="n">
        <v>46</v>
      </c>
      <c r="B49" t="inlineStr">
        <is>
          <t>심리학과</t>
        </is>
      </c>
      <c r="C49" t="inlineStr">
        <is>
          <t>기계공학과</t>
        </is>
      </c>
      <c r="D49" t="n">
        <v>8</v>
      </c>
      <c r="E49" t="n">
        <v>9</v>
      </c>
      <c r="F49" s="48">
        <f>SUMPRODUCT(('평가'!C8:P8&lt;&gt;"")*('평가'!C9:P9&lt;&gt;""))</f>
        <v/>
      </c>
      <c r="G49" s="48">
        <f>SUMPRODUCT(('평가'!C8:P8&lt;&gt;"")*('평가'!C9:P9&lt;&gt;"")*('평가'!C8:P8='평가'!C9:P9))</f>
        <v/>
      </c>
      <c r="H49" s="49">
        <f>IF(F49=0,"",G49/F49)</f>
        <v/>
      </c>
      <c r="I49" s="46" t="n"/>
      <c r="J49" s="46" t="n"/>
      <c r="K49" s="46" t="n"/>
      <c r="L49" s="46" t="n"/>
      <c r="M49" s="46" t="n"/>
    </row>
    <row r="50">
      <c r="A50" t="n">
        <v>47</v>
      </c>
      <c r="B50" t="inlineStr">
        <is>
          <t>심리학과</t>
        </is>
      </c>
      <c r="C50" t="inlineStr">
        <is>
          <t>화학과</t>
        </is>
      </c>
      <c r="D50" t="n">
        <v>8</v>
      </c>
      <c r="E50" t="n">
        <v>10</v>
      </c>
      <c r="F50" s="48">
        <f>SUMPRODUCT(('평가'!C8:P8&lt;&gt;"")*('평가'!C10:P10&lt;&gt;""))</f>
        <v/>
      </c>
      <c r="G50" s="48">
        <f>SUMPRODUCT(('평가'!C8:P8&lt;&gt;"")*('평가'!C10:P10&lt;&gt;"")*('평가'!C8:P8='평가'!C10:P10))</f>
        <v/>
      </c>
      <c r="H50" s="49">
        <f>IF(F50=0,"",G50/F50)</f>
        <v/>
      </c>
      <c r="I50" s="46" t="n"/>
      <c r="J50" s="46" t="n"/>
      <c r="K50" s="46" t="n"/>
      <c r="L50" s="46" t="n"/>
      <c r="M50" s="46" t="n"/>
    </row>
    <row r="51">
      <c r="A51" t="n">
        <v>48</v>
      </c>
      <c r="B51" t="inlineStr">
        <is>
          <t>심리학과</t>
        </is>
      </c>
      <c r="C51" t="inlineStr">
        <is>
          <t>산업공학과</t>
        </is>
      </c>
      <c r="D51" t="n">
        <v>8</v>
      </c>
      <c r="E51" t="n">
        <v>11</v>
      </c>
      <c r="F51" s="48">
        <f>SUMPRODUCT(('평가'!C8:P8&lt;&gt;"")*('평가'!C11:P11&lt;&gt;""))</f>
        <v/>
      </c>
      <c r="G51" s="48">
        <f>SUMPRODUCT(('평가'!C8:P8&lt;&gt;"")*('평가'!C11:P11&lt;&gt;"")*('평가'!C8:P8='평가'!C11:P11))</f>
        <v/>
      </c>
      <c r="H51" s="49">
        <f>IF(F51=0,"",G51/F51)</f>
        <v/>
      </c>
      <c r="I51" s="46" t="n"/>
      <c r="J51" s="46" t="n"/>
      <c r="K51" s="46" t="n"/>
      <c r="L51" s="46" t="n"/>
      <c r="M51" s="46" t="n"/>
    </row>
    <row r="52">
      <c r="A52" t="n">
        <v>49</v>
      </c>
      <c r="B52" t="inlineStr">
        <is>
          <t>심리학과</t>
        </is>
      </c>
      <c r="C52" t="inlineStr">
        <is>
          <t>신소재공학과</t>
        </is>
      </c>
      <c r="D52" t="n">
        <v>8</v>
      </c>
      <c r="E52" t="n">
        <v>12</v>
      </c>
      <c r="F52" s="48">
        <f>SUMPRODUCT(('평가'!C8:P8&lt;&gt;"")*('평가'!C12:P12&lt;&gt;""))</f>
        <v/>
      </c>
      <c r="G52" s="48">
        <f>SUMPRODUCT(('평가'!C8:P8&lt;&gt;"")*('평가'!C12:P12&lt;&gt;"")*('평가'!C8:P8='평가'!C12:P12))</f>
        <v/>
      </c>
      <c r="H52" s="49">
        <f>IF(F52=0,"",G52/F52)</f>
        <v/>
      </c>
      <c r="I52" s="46" t="n"/>
      <c r="J52" s="46" t="n"/>
      <c r="K52" s="46" t="n"/>
      <c r="L52" s="46" t="n"/>
      <c r="M52" s="46" t="n"/>
    </row>
    <row r="53">
      <c r="A53" t="n">
        <v>50</v>
      </c>
      <c r="B53" t="inlineStr">
        <is>
          <t>심리학과</t>
        </is>
      </c>
      <c r="C53" t="inlineStr">
        <is>
          <t>조선해양공학과</t>
        </is>
      </c>
      <c r="D53" t="n">
        <v>8</v>
      </c>
      <c r="E53" t="n">
        <v>13</v>
      </c>
      <c r="F53" s="48">
        <f>SUMPRODUCT(('평가'!C8:P8&lt;&gt;"")*('평가'!C13:P13&lt;&gt;""))</f>
        <v/>
      </c>
      <c r="G53" s="48">
        <f>SUMPRODUCT(('평가'!C8:P8&lt;&gt;"")*('평가'!C13:P13&lt;&gt;"")*('평가'!C8:P8='평가'!C13:P13))</f>
        <v/>
      </c>
      <c r="H53" s="49">
        <f>IF(F53=0,"",G53/F53)</f>
        <v/>
      </c>
      <c r="I53" s="46" t="n"/>
      <c r="J53" s="46" t="n"/>
      <c r="K53" s="46" t="n"/>
      <c r="L53" s="46" t="n"/>
      <c r="M53" s="46" t="n"/>
    </row>
    <row r="54">
      <c r="A54" t="n">
        <v>51</v>
      </c>
      <c r="B54" t="inlineStr">
        <is>
          <t>심리학과</t>
        </is>
      </c>
      <c r="C54" t="inlineStr">
        <is>
          <t>의예과</t>
        </is>
      </c>
      <c r="D54" t="n">
        <v>8</v>
      </c>
      <c r="E54" t="n">
        <v>14</v>
      </c>
      <c r="F54" s="48">
        <f>SUMPRODUCT(('평가'!C8:P8&lt;&gt;"")*('평가'!C14:P14&lt;&gt;""))</f>
        <v/>
      </c>
      <c r="G54" s="48">
        <f>SUMPRODUCT(('평가'!C8:P8&lt;&gt;"")*('평가'!C14:P14&lt;&gt;"")*('평가'!C8:P8='평가'!C14:P14))</f>
        <v/>
      </c>
      <c r="H54" s="49">
        <f>IF(F54=0,"",G54/F54)</f>
        <v/>
      </c>
      <c r="I54" s="46" t="n"/>
      <c r="J54" s="46" t="n"/>
      <c r="K54" s="46" t="n"/>
      <c r="L54" s="46" t="n"/>
      <c r="M54" s="46" t="n"/>
    </row>
    <row r="55">
      <c r="A55" t="n">
        <v>52</v>
      </c>
      <c r="B55" t="inlineStr">
        <is>
          <t>심리학과</t>
        </is>
      </c>
      <c r="C55" t="inlineStr">
        <is>
          <t>수학과</t>
        </is>
      </c>
      <c r="D55" t="n">
        <v>8</v>
      </c>
      <c r="E55" t="n">
        <v>15</v>
      </c>
      <c r="F55" s="48">
        <f>SUMPRODUCT(('평가'!C8:P8&lt;&gt;"")*('평가'!C15:P15&lt;&gt;""))</f>
        <v/>
      </c>
      <c r="G55" s="48">
        <f>SUMPRODUCT(('평가'!C8:P8&lt;&gt;"")*('평가'!C15:P15&lt;&gt;"")*('평가'!C8:P8='평가'!C15:P15))</f>
        <v/>
      </c>
      <c r="H55" s="49">
        <f>IF(F55=0,"",G55/F55)</f>
        <v/>
      </c>
      <c r="I55" s="46" t="n"/>
      <c r="J55" s="46" t="n"/>
      <c r="K55" s="46" t="n"/>
      <c r="L55" s="46" t="n"/>
      <c r="M55" s="46" t="n"/>
    </row>
    <row r="56">
      <c r="A56" t="n">
        <v>53</v>
      </c>
      <c r="B56" t="inlineStr">
        <is>
          <t>심리학과</t>
        </is>
      </c>
      <c r="C56" t="inlineStr">
        <is>
          <t>경영학과</t>
        </is>
      </c>
      <c r="D56" t="n">
        <v>8</v>
      </c>
      <c r="E56" t="n">
        <v>16</v>
      </c>
      <c r="F56" s="48">
        <f>SUMPRODUCT(('평가'!C8:P8&lt;&gt;"")*('평가'!C16:P16&lt;&gt;""))</f>
        <v/>
      </c>
      <c r="G56" s="48">
        <f>SUMPRODUCT(('평가'!C8:P8&lt;&gt;"")*('평가'!C16:P16&lt;&gt;"")*('평가'!C8:P8='평가'!C16:P16))</f>
        <v/>
      </c>
      <c r="H56" s="49">
        <f>IF(F56=0,"",G56/F56)</f>
        <v/>
      </c>
      <c r="I56" s="46" t="n"/>
      <c r="J56" s="46" t="n"/>
      <c r="K56" s="46" t="n"/>
      <c r="L56" s="46" t="n"/>
      <c r="M56" s="46" t="n"/>
    </row>
    <row r="57">
      <c r="A57" t="n">
        <v>54</v>
      </c>
      <c r="B57" t="inlineStr">
        <is>
          <t>심리학과</t>
        </is>
      </c>
      <c r="C57" t="inlineStr">
        <is>
          <t>약학과</t>
        </is>
      </c>
      <c r="D57" t="n">
        <v>8</v>
      </c>
      <c r="E57" t="n">
        <v>17</v>
      </c>
      <c r="F57" s="48">
        <f>SUMPRODUCT(('평가'!C8:P8&lt;&gt;"")*('평가'!C17:P17&lt;&gt;""))</f>
        <v/>
      </c>
      <c r="G57" s="48">
        <f>SUMPRODUCT(('평가'!C8:P8&lt;&gt;"")*('평가'!C17:P17&lt;&gt;"")*('평가'!C8:P8='평가'!C17:P17))</f>
        <v/>
      </c>
      <c r="H57" s="49">
        <f>IF(F57=0,"",G57/F57)</f>
        <v/>
      </c>
      <c r="I57" s="46" t="n"/>
      <c r="J57" s="46" t="n"/>
      <c r="K57" s="46" t="n"/>
      <c r="L57" s="46" t="n"/>
      <c r="M57" s="46" t="n"/>
    </row>
    <row r="58">
      <c r="A58" t="n">
        <v>55</v>
      </c>
      <c r="B58" t="inlineStr">
        <is>
          <t>심리학과</t>
        </is>
      </c>
      <c r="C58" t="inlineStr">
        <is>
          <t>사회학과</t>
        </is>
      </c>
      <c r="D58" t="n">
        <v>8</v>
      </c>
      <c r="E58" t="n">
        <v>18</v>
      </c>
      <c r="F58" s="48">
        <f>SUMPRODUCT(('평가'!C8:P8&lt;&gt;"")*('평가'!C18:P18&lt;&gt;""))</f>
        <v/>
      </c>
      <c r="G58" s="48">
        <f>SUMPRODUCT(('평가'!C8:P8&lt;&gt;"")*('평가'!C18:P18&lt;&gt;"")*('평가'!C8:P8='평가'!C18:P18))</f>
        <v/>
      </c>
      <c r="H58" s="49">
        <f>IF(F58=0,"",G58/F58)</f>
        <v/>
      </c>
      <c r="I58" s="46" t="n"/>
      <c r="J58" s="46" t="n"/>
      <c r="K58" s="46" t="n"/>
      <c r="L58" s="46" t="n"/>
      <c r="M58" s="46" t="n"/>
    </row>
    <row r="59">
      <c r="A59" t="n">
        <v>56</v>
      </c>
      <c r="B59" t="inlineStr">
        <is>
          <t>심리학과</t>
        </is>
      </c>
      <c r="C59" t="inlineStr">
        <is>
          <t>경제학과</t>
        </is>
      </c>
      <c r="D59" t="n">
        <v>8</v>
      </c>
      <c r="E59" t="n">
        <v>19</v>
      </c>
      <c r="F59" s="48">
        <f>SUMPRODUCT(('평가'!C8:P8&lt;&gt;"")*('평가'!C19:P19&lt;&gt;""))</f>
        <v/>
      </c>
      <c r="G59" s="48">
        <f>SUMPRODUCT(('평가'!C8:P8&lt;&gt;"")*('평가'!C19:P19&lt;&gt;"")*('평가'!C8:P8='평가'!C19:P19))</f>
        <v/>
      </c>
      <c r="H59" s="49">
        <f>IF(F59=0,"",G59/F59)</f>
        <v/>
      </c>
      <c r="I59" s="46" t="n"/>
      <c r="J59" s="46" t="n"/>
      <c r="K59" s="46" t="n"/>
      <c r="L59" s="46" t="n"/>
      <c r="M59" s="46" t="n"/>
    </row>
    <row r="60">
      <c r="A60" t="n">
        <v>57</v>
      </c>
      <c r="B60" t="inlineStr">
        <is>
          <t>심리학과</t>
        </is>
      </c>
      <c r="C60" t="inlineStr">
        <is>
          <t>생명과학과</t>
        </is>
      </c>
      <c r="D60" t="n">
        <v>8</v>
      </c>
      <c r="E60" t="n">
        <v>20</v>
      </c>
      <c r="F60" s="48">
        <f>SUMPRODUCT(('평가'!C8:P8&lt;&gt;"")*('평가'!C20:P20&lt;&gt;""))</f>
        <v/>
      </c>
      <c r="G60" s="48">
        <f>SUMPRODUCT(('평가'!C8:P8&lt;&gt;"")*('평가'!C20:P20&lt;&gt;"")*('평가'!C8:P8='평가'!C20:P20))</f>
        <v/>
      </c>
      <c r="H60" s="49">
        <f>IF(F60=0,"",G60/F60)</f>
        <v/>
      </c>
      <c r="I60" s="46" t="n"/>
      <c r="J60" s="46" t="n"/>
      <c r="K60" s="46" t="n"/>
      <c r="L60" s="46" t="n"/>
      <c r="M60" s="46" t="n"/>
    </row>
    <row r="61">
      <c r="A61" t="n">
        <v>58</v>
      </c>
      <c r="B61" t="inlineStr">
        <is>
          <t>심리학과</t>
        </is>
      </c>
      <c r="C61" t="inlineStr">
        <is>
          <t>미디어커뮤니케이션학과</t>
        </is>
      </c>
      <c r="D61" t="n">
        <v>8</v>
      </c>
      <c r="E61" t="n">
        <v>21</v>
      </c>
      <c r="F61" s="48">
        <f>SUMPRODUCT(('평가'!C8:P8&lt;&gt;"")*('평가'!C21:P21&lt;&gt;""))</f>
        <v/>
      </c>
      <c r="G61" s="48">
        <f>SUMPRODUCT(('평가'!C8:P8&lt;&gt;"")*('평가'!C21:P21&lt;&gt;"")*('평가'!C8:P8='평가'!C21:P21))</f>
        <v/>
      </c>
      <c r="H61" s="49">
        <f>IF(F61=0,"",G61/F61)</f>
        <v/>
      </c>
      <c r="I61" s="46" t="n"/>
      <c r="J61" s="46" t="n"/>
      <c r="K61" s="46" t="n"/>
      <c r="L61" s="46" t="n"/>
      <c r="M61" s="46" t="n"/>
    </row>
    <row r="62">
      <c r="A62" t="n">
        <v>59</v>
      </c>
      <c r="B62" t="inlineStr">
        <is>
          <t>심리학과</t>
        </is>
      </c>
      <c r="C62" t="inlineStr">
        <is>
          <t>화학공학과</t>
        </is>
      </c>
      <c r="D62" t="n">
        <v>8</v>
      </c>
      <c r="E62" t="n">
        <v>22</v>
      </c>
      <c r="F62" s="48">
        <f>SUMPRODUCT(('평가'!C8:P8&lt;&gt;"")*('평가'!C22:P22&lt;&gt;""))</f>
        <v/>
      </c>
      <c r="G62" s="48">
        <f>SUMPRODUCT(('평가'!C8:P8&lt;&gt;"")*('평가'!C22:P22&lt;&gt;"")*('평가'!C8:P8='평가'!C22:P22))</f>
        <v/>
      </c>
      <c r="H62" s="49">
        <f>IF(F62=0,"",G62/F62)</f>
        <v/>
      </c>
      <c r="I62" s="46" t="n"/>
      <c r="J62" s="46" t="n"/>
      <c r="K62" s="46" t="n"/>
      <c r="L62" s="46" t="n"/>
      <c r="M62" s="46" t="n"/>
    </row>
    <row r="63">
      <c r="A63" t="n">
        <v>60</v>
      </c>
      <c r="B63" t="inlineStr">
        <is>
          <t>심리학과</t>
        </is>
      </c>
      <c r="C63" t="inlineStr">
        <is>
          <t>디자인학과</t>
        </is>
      </c>
      <c r="D63" t="n">
        <v>8</v>
      </c>
      <c r="E63" t="n">
        <v>23</v>
      </c>
      <c r="F63" s="48">
        <f>SUMPRODUCT(('평가'!C8:P8&lt;&gt;"")*('평가'!C23:P23&lt;&gt;""))</f>
        <v/>
      </c>
      <c r="G63" s="48">
        <f>SUMPRODUCT(('평가'!C8:P8&lt;&gt;"")*('평가'!C23:P23&lt;&gt;"")*('평가'!C8:P8='평가'!C23:P23))</f>
        <v/>
      </c>
      <c r="H63" s="49">
        <f>IF(F63=0,"",G63/F63)</f>
        <v/>
      </c>
      <c r="I63" s="46" t="n"/>
      <c r="J63" s="46" t="n"/>
      <c r="K63" s="46" t="n"/>
      <c r="L63" s="46" t="n"/>
      <c r="M63" s="46" t="n"/>
    </row>
    <row r="64">
      <c r="A64" t="n">
        <v>61</v>
      </c>
      <c r="B64" t="inlineStr">
        <is>
          <t>심리학과</t>
        </is>
      </c>
      <c r="C64" t="inlineStr">
        <is>
          <t>식품영양학과</t>
        </is>
      </c>
      <c r="D64" t="n">
        <v>8</v>
      </c>
      <c r="E64" t="n">
        <v>24</v>
      </c>
      <c r="F64" s="48">
        <f>SUMPRODUCT(('평가'!C8:P8&lt;&gt;"")*('평가'!C24:P24&lt;&gt;""))</f>
        <v/>
      </c>
      <c r="G64" s="48">
        <f>SUMPRODUCT(('평가'!C8:P8&lt;&gt;"")*('평가'!C24:P24&lt;&gt;"")*('평가'!C8:P8='평가'!C24:P24))</f>
        <v/>
      </c>
      <c r="H64" s="49">
        <f>IF(F64=0,"",G64/F64)</f>
        <v/>
      </c>
      <c r="I64" s="46" t="n"/>
      <c r="J64" s="46" t="n"/>
      <c r="K64" s="46" t="n"/>
      <c r="L64" s="46" t="n"/>
      <c r="M64" s="46" t="n"/>
    </row>
    <row r="65">
      <c r="A65" t="n">
        <v>62</v>
      </c>
      <c r="B65" t="inlineStr">
        <is>
          <t>심리학과</t>
        </is>
      </c>
      <c r="C65" t="inlineStr">
        <is>
          <t>간호학과</t>
        </is>
      </c>
      <c r="D65" t="n">
        <v>8</v>
      </c>
      <c r="E65" t="n">
        <v>25</v>
      </c>
      <c r="F65" s="48">
        <f>SUMPRODUCT(('평가'!C8:P8&lt;&gt;"")*('평가'!C25:P25&lt;&gt;""))</f>
        <v/>
      </c>
      <c r="G65" s="48">
        <f>SUMPRODUCT(('평가'!C8:P8&lt;&gt;"")*('평가'!C25:P25&lt;&gt;"")*('평가'!C8:P8='평가'!C25:P25))</f>
        <v/>
      </c>
      <c r="H65" s="49">
        <f>IF(F65=0,"",G65/F65)</f>
        <v/>
      </c>
      <c r="I65" s="46" t="n"/>
      <c r="J65" s="46" t="n"/>
      <c r="K65" s="46" t="n"/>
      <c r="L65" s="46" t="n"/>
      <c r="M65" s="46" t="n"/>
    </row>
    <row r="66">
      <c r="A66" t="n">
        <v>63</v>
      </c>
      <c r="B66" t="inlineStr">
        <is>
          <t>심리학과</t>
        </is>
      </c>
      <c r="C66" t="inlineStr">
        <is>
          <t>전기전자공학과</t>
        </is>
      </c>
      <c r="D66" t="n">
        <v>8</v>
      </c>
      <c r="E66" t="n">
        <v>26</v>
      </c>
      <c r="F66" s="48">
        <f>SUMPRODUCT(('평가'!C8:P8&lt;&gt;"")*('평가'!C26:P26&lt;&gt;""))</f>
        <v/>
      </c>
      <c r="G66" s="48">
        <f>SUMPRODUCT(('평가'!C8:P8&lt;&gt;"")*('평가'!C26:P26&lt;&gt;"")*('평가'!C8:P8='평가'!C26:P26))</f>
        <v/>
      </c>
      <c r="H66" s="49">
        <f>IF(F66=0,"",G66/F66)</f>
        <v/>
      </c>
      <c r="I66" s="46" t="n"/>
      <c r="J66" s="46" t="n"/>
      <c r="K66" s="46" t="n"/>
      <c r="L66" s="46" t="n"/>
      <c r="M66" s="46" t="n"/>
    </row>
    <row r="67">
      <c r="A67" t="n">
        <v>64</v>
      </c>
      <c r="B67" t="inlineStr">
        <is>
          <t>심리학과</t>
        </is>
      </c>
      <c r="C67" t="inlineStr">
        <is>
          <t>사학과</t>
        </is>
      </c>
      <c r="D67" t="n">
        <v>8</v>
      </c>
      <c r="E67" t="n">
        <v>27</v>
      </c>
      <c r="F67" s="48">
        <f>SUMPRODUCT(('평가'!C8:P8&lt;&gt;"")*('평가'!C27:P27&lt;&gt;""))</f>
        <v/>
      </c>
      <c r="G67" s="48">
        <f>SUMPRODUCT(('평가'!C8:P8&lt;&gt;"")*('평가'!C27:P27&lt;&gt;"")*('평가'!C8:P8='평가'!C27:P27))</f>
        <v/>
      </c>
      <c r="H67" s="49">
        <f>IF(F67=0,"",G67/F67)</f>
        <v/>
      </c>
      <c r="I67" s="46" t="n"/>
      <c r="J67" s="46" t="n"/>
      <c r="K67" s="46" t="n"/>
      <c r="L67" s="46" t="n"/>
      <c r="M67" s="46" t="n"/>
    </row>
    <row r="68">
      <c r="A68" t="n">
        <v>65</v>
      </c>
      <c r="B68" t="inlineStr">
        <is>
          <t>심리학과</t>
        </is>
      </c>
      <c r="C68" t="inlineStr">
        <is>
          <t>응용통계학과</t>
        </is>
      </c>
      <c r="D68" t="n">
        <v>8</v>
      </c>
      <c r="E68" t="n">
        <v>28</v>
      </c>
      <c r="F68" s="48">
        <f>SUMPRODUCT(('평가'!C8:P8&lt;&gt;"")*('평가'!C28:P28&lt;&gt;""))</f>
        <v/>
      </c>
      <c r="G68" s="48">
        <f>SUMPRODUCT(('평가'!C8:P8&lt;&gt;"")*('평가'!C28:P28&lt;&gt;"")*('평가'!C8:P8='평가'!C28:P28))</f>
        <v/>
      </c>
      <c r="H68" s="49">
        <f>IF(F68=0,"",G68/F68)</f>
        <v/>
      </c>
      <c r="I68" s="46" t="n"/>
      <c r="J68" s="46" t="n"/>
      <c r="K68" s="46" t="n"/>
      <c r="L68" s="46" t="n"/>
      <c r="M68" s="46" t="n"/>
    </row>
    <row r="69">
      <c r="A69" t="n">
        <v>66</v>
      </c>
      <c r="B69" t="inlineStr">
        <is>
          <t>심리학과</t>
        </is>
      </c>
      <c r="C69" t="inlineStr">
        <is>
          <t>컴퓨터공학과</t>
        </is>
      </c>
      <c r="D69" t="n">
        <v>8</v>
      </c>
      <c r="E69" t="n">
        <v>29</v>
      </c>
      <c r="F69" s="48">
        <f>SUMPRODUCT(('평가'!C8:P8&lt;&gt;"")*('평가'!C29:P29&lt;&gt;""))</f>
        <v/>
      </c>
      <c r="G69" s="48">
        <f>SUMPRODUCT(('평가'!C8:P8&lt;&gt;"")*('평가'!C29:P29&lt;&gt;"")*('평가'!C8:P8='평가'!C29:P29))</f>
        <v/>
      </c>
      <c r="H69" s="49">
        <f>IF(F69=0,"",G69/F69)</f>
        <v/>
      </c>
      <c r="I69" s="46" t="n"/>
      <c r="J69" s="46" t="n"/>
      <c r="K69" s="46" t="n"/>
      <c r="L69" s="46" t="n"/>
      <c r="M69" s="46" t="n"/>
    </row>
    <row r="70">
      <c r="A70" t="n">
        <v>67</v>
      </c>
      <c r="B70" t="inlineStr">
        <is>
          <t>기계공학과</t>
        </is>
      </c>
      <c r="C70" t="inlineStr">
        <is>
          <t>화학과</t>
        </is>
      </c>
      <c r="D70" t="n">
        <v>9</v>
      </c>
      <c r="E70" t="n">
        <v>10</v>
      </c>
      <c r="F70" s="48">
        <f>SUMPRODUCT(('평가'!C9:P9&lt;&gt;"")*('평가'!C10:P10&lt;&gt;""))</f>
        <v/>
      </c>
      <c r="G70" s="48">
        <f>SUMPRODUCT(('평가'!C9:P9&lt;&gt;"")*('평가'!C10:P10&lt;&gt;"")*('평가'!C9:P9='평가'!C10:P10))</f>
        <v/>
      </c>
      <c r="H70" s="49">
        <f>IF(F70=0,"",G70/F70)</f>
        <v/>
      </c>
      <c r="I70" s="46" t="n"/>
      <c r="J70" s="46" t="n"/>
      <c r="K70" s="46" t="n"/>
      <c r="L70" s="46" t="n"/>
      <c r="M70" s="46" t="n"/>
    </row>
    <row r="71">
      <c r="A71" t="n">
        <v>68</v>
      </c>
      <c r="B71" t="inlineStr">
        <is>
          <t>기계공학과</t>
        </is>
      </c>
      <c r="C71" t="inlineStr">
        <is>
          <t>산업공학과</t>
        </is>
      </c>
      <c r="D71" t="n">
        <v>9</v>
      </c>
      <c r="E71" t="n">
        <v>11</v>
      </c>
      <c r="F71" s="48">
        <f>SUMPRODUCT(('평가'!C9:P9&lt;&gt;"")*('평가'!C11:P11&lt;&gt;""))</f>
        <v/>
      </c>
      <c r="G71" s="48">
        <f>SUMPRODUCT(('평가'!C9:P9&lt;&gt;"")*('평가'!C11:P11&lt;&gt;"")*('평가'!C9:P9='평가'!C11:P11))</f>
        <v/>
      </c>
      <c r="H71" s="49">
        <f>IF(F71=0,"",G71/F71)</f>
        <v/>
      </c>
      <c r="I71" s="46" t="n"/>
      <c r="J71" s="46" t="n"/>
      <c r="K71" s="46" t="n"/>
      <c r="L71" s="46" t="n"/>
      <c r="M71" s="46" t="n"/>
    </row>
    <row r="72">
      <c r="A72" t="n">
        <v>69</v>
      </c>
      <c r="B72" t="inlineStr">
        <is>
          <t>기계공학과</t>
        </is>
      </c>
      <c r="C72" t="inlineStr">
        <is>
          <t>신소재공학과</t>
        </is>
      </c>
      <c r="D72" t="n">
        <v>9</v>
      </c>
      <c r="E72" t="n">
        <v>12</v>
      </c>
      <c r="F72" s="48">
        <f>SUMPRODUCT(('평가'!C9:P9&lt;&gt;"")*('평가'!C12:P12&lt;&gt;""))</f>
        <v/>
      </c>
      <c r="G72" s="48">
        <f>SUMPRODUCT(('평가'!C9:P9&lt;&gt;"")*('평가'!C12:P12&lt;&gt;"")*('평가'!C9:P9='평가'!C12:P12))</f>
        <v/>
      </c>
      <c r="H72" s="49">
        <f>IF(F72=0,"",G72/F72)</f>
        <v/>
      </c>
      <c r="I72" s="46" t="n"/>
      <c r="J72" s="46" t="n"/>
      <c r="K72" s="46" t="n"/>
      <c r="L72" s="46" t="n"/>
      <c r="M72" s="46" t="n"/>
    </row>
    <row r="73">
      <c r="A73" t="n">
        <v>70</v>
      </c>
      <c r="B73" t="inlineStr">
        <is>
          <t>기계공학과</t>
        </is>
      </c>
      <c r="C73" t="inlineStr">
        <is>
          <t>조선해양공학과</t>
        </is>
      </c>
      <c r="D73" t="n">
        <v>9</v>
      </c>
      <c r="E73" t="n">
        <v>13</v>
      </c>
      <c r="F73" s="48">
        <f>SUMPRODUCT(('평가'!C9:P9&lt;&gt;"")*('평가'!C13:P13&lt;&gt;""))</f>
        <v/>
      </c>
      <c r="G73" s="48">
        <f>SUMPRODUCT(('평가'!C9:P9&lt;&gt;"")*('평가'!C13:P13&lt;&gt;"")*('평가'!C9:P9='평가'!C13:P13))</f>
        <v/>
      </c>
      <c r="H73" s="49">
        <f>IF(F73=0,"",G73/F73)</f>
        <v/>
      </c>
      <c r="I73" s="46" t="n"/>
      <c r="J73" s="46" t="n"/>
      <c r="K73" s="46" t="n"/>
      <c r="L73" s="46" t="n"/>
      <c r="M73" s="46" t="n"/>
    </row>
    <row r="74">
      <c r="A74" t="n">
        <v>71</v>
      </c>
      <c r="B74" t="inlineStr">
        <is>
          <t>기계공학과</t>
        </is>
      </c>
      <c r="C74" t="inlineStr">
        <is>
          <t>의예과</t>
        </is>
      </c>
      <c r="D74" t="n">
        <v>9</v>
      </c>
      <c r="E74" t="n">
        <v>14</v>
      </c>
      <c r="F74" s="48">
        <f>SUMPRODUCT(('평가'!C9:P9&lt;&gt;"")*('평가'!C14:P14&lt;&gt;""))</f>
        <v/>
      </c>
      <c r="G74" s="48">
        <f>SUMPRODUCT(('평가'!C9:P9&lt;&gt;"")*('평가'!C14:P14&lt;&gt;"")*('평가'!C9:P9='평가'!C14:P14))</f>
        <v/>
      </c>
      <c r="H74" s="49">
        <f>IF(F74=0,"",G74/F74)</f>
        <v/>
      </c>
      <c r="I74" s="46" t="n"/>
      <c r="J74" s="46" t="n"/>
      <c r="K74" s="46" t="n"/>
      <c r="L74" s="46" t="n"/>
      <c r="M74" s="46" t="n"/>
    </row>
    <row r="75">
      <c r="A75" t="n">
        <v>72</v>
      </c>
      <c r="B75" t="inlineStr">
        <is>
          <t>기계공학과</t>
        </is>
      </c>
      <c r="C75" t="inlineStr">
        <is>
          <t>수학과</t>
        </is>
      </c>
      <c r="D75" t="n">
        <v>9</v>
      </c>
      <c r="E75" t="n">
        <v>15</v>
      </c>
      <c r="F75" s="48">
        <f>SUMPRODUCT(('평가'!C9:P9&lt;&gt;"")*('평가'!C15:P15&lt;&gt;""))</f>
        <v/>
      </c>
      <c r="G75" s="48">
        <f>SUMPRODUCT(('평가'!C9:P9&lt;&gt;"")*('평가'!C15:P15&lt;&gt;"")*('평가'!C9:P9='평가'!C15:P15))</f>
        <v/>
      </c>
      <c r="H75" s="49">
        <f>IF(F75=0,"",G75/F75)</f>
        <v/>
      </c>
      <c r="I75" s="46" t="n"/>
      <c r="J75" s="46" t="n"/>
      <c r="K75" s="46" t="n"/>
      <c r="L75" s="46" t="n"/>
      <c r="M75" s="46" t="n"/>
    </row>
    <row r="76">
      <c r="A76" t="n">
        <v>73</v>
      </c>
      <c r="B76" t="inlineStr">
        <is>
          <t>기계공학과</t>
        </is>
      </c>
      <c r="C76" t="inlineStr">
        <is>
          <t>경영학과</t>
        </is>
      </c>
      <c r="D76" t="n">
        <v>9</v>
      </c>
      <c r="E76" t="n">
        <v>16</v>
      </c>
      <c r="F76" s="48">
        <f>SUMPRODUCT(('평가'!C9:P9&lt;&gt;"")*('평가'!C16:P16&lt;&gt;""))</f>
        <v/>
      </c>
      <c r="G76" s="48">
        <f>SUMPRODUCT(('평가'!C9:P9&lt;&gt;"")*('평가'!C16:P16&lt;&gt;"")*('평가'!C9:P9='평가'!C16:P16))</f>
        <v/>
      </c>
      <c r="H76" s="49">
        <f>IF(F76=0,"",G76/F76)</f>
        <v/>
      </c>
      <c r="I76" s="46" t="n"/>
      <c r="J76" s="46" t="n"/>
      <c r="K76" s="46" t="n"/>
      <c r="L76" s="46" t="n"/>
      <c r="M76" s="46" t="n"/>
    </row>
    <row r="77">
      <c r="A77" t="n">
        <v>74</v>
      </c>
      <c r="B77" t="inlineStr">
        <is>
          <t>기계공학과</t>
        </is>
      </c>
      <c r="C77" t="inlineStr">
        <is>
          <t>약학과</t>
        </is>
      </c>
      <c r="D77" t="n">
        <v>9</v>
      </c>
      <c r="E77" t="n">
        <v>17</v>
      </c>
      <c r="F77" s="48">
        <f>SUMPRODUCT(('평가'!C9:P9&lt;&gt;"")*('평가'!C17:P17&lt;&gt;""))</f>
        <v/>
      </c>
      <c r="G77" s="48">
        <f>SUMPRODUCT(('평가'!C9:P9&lt;&gt;"")*('평가'!C17:P17&lt;&gt;"")*('평가'!C9:P9='평가'!C17:P17))</f>
        <v/>
      </c>
      <c r="H77" s="49">
        <f>IF(F77=0,"",G77/F77)</f>
        <v/>
      </c>
      <c r="I77" s="46" t="n"/>
      <c r="J77" s="46" t="n"/>
      <c r="K77" s="46" t="n"/>
      <c r="L77" s="46" t="n"/>
      <c r="M77" s="46" t="n"/>
    </row>
    <row r="78">
      <c r="A78" t="n">
        <v>75</v>
      </c>
      <c r="B78" t="inlineStr">
        <is>
          <t>기계공학과</t>
        </is>
      </c>
      <c r="C78" t="inlineStr">
        <is>
          <t>사회학과</t>
        </is>
      </c>
      <c r="D78" t="n">
        <v>9</v>
      </c>
      <c r="E78" t="n">
        <v>18</v>
      </c>
      <c r="F78" s="48">
        <f>SUMPRODUCT(('평가'!C9:P9&lt;&gt;"")*('평가'!C18:P18&lt;&gt;""))</f>
        <v/>
      </c>
      <c r="G78" s="48">
        <f>SUMPRODUCT(('평가'!C9:P9&lt;&gt;"")*('평가'!C18:P18&lt;&gt;"")*('평가'!C9:P9='평가'!C18:P18))</f>
        <v/>
      </c>
      <c r="H78" s="49">
        <f>IF(F78=0,"",G78/F78)</f>
        <v/>
      </c>
      <c r="I78" s="46" t="n"/>
      <c r="J78" s="46" t="n"/>
      <c r="K78" s="46" t="n"/>
      <c r="L78" s="46" t="n"/>
      <c r="M78" s="46" t="n"/>
    </row>
    <row r="79">
      <c r="A79" t="n">
        <v>76</v>
      </c>
      <c r="B79" t="inlineStr">
        <is>
          <t>기계공학과</t>
        </is>
      </c>
      <c r="C79" t="inlineStr">
        <is>
          <t>경제학과</t>
        </is>
      </c>
      <c r="D79" t="n">
        <v>9</v>
      </c>
      <c r="E79" t="n">
        <v>19</v>
      </c>
      <c r="F79" s="48">
        <f>SUMPRODUCT(('평가'!C9:P9&lt;&gt;"")*('평가'!C19:P19&lt;&gt;""))</f>
        <v/>
      </c>
      <c r="G79" s="48">
        <f>SUMPRODUCT(('평가'!C9:P9&lt;&gt;"")*('평가'!C19:P19&lt;&gt;"")*('평가'!C9:P9='평가'!C19:P19))</f>
        <v/>
      </c>
      <c r="H79" s="49">
        <f>IF(F79=0,"",G79/F79)</f>
        <v/>
      </c>
      <c r="I79" s="46" t="n"/>
      <c r="J79" s="46" t="n"/>
      <c r="K79" s="46" t="n"/>
      <c r="L79" s="46" t="n"/>
      <c r="M79" s="46" t="n"/>
    </row>
    <row r="80">
      <c r="A80" t="n">
        <v>77</v>
      </c>
      <c r="B80" t="inlineStr">
        <is>
          <t>기계공학과</t>
        </is>
      </c>
      <c r="C80" t="inlineStr">
        <is>
          <t>생명과학과</t>
        </is>
      </c>
      <c r="D80" t="n">
        <v>9</v>
      </c>
      <c r="E80" t="n">
        <v>20</v>
      </c>
      <c r="F80" s="48">
        <f>SUMPRODUCT(('평가'!C9:P9&lt;&gt;"")*('평가'!C20:P20&lt;&gt;""))</f>
        <v/>
      </c>
      <c r="G80" s="48">
        <f>SUMPRODUCT(('평가'!C9:P9&lt;&gt;"")*('평가'!C20:P20&lt;&gt;"")*('평가'!C9:P9='평가'!C20:P20))</f>
        <v/>
      </c>
      <c r="H80" s="49">
        <f>IF(F80=0,"",G80/F80)</f>
        <v/>
      </c>
      <c r="I80" s="46" t="n"/>
      <c r="J80" s="46" t="n"/>
      <c r="K80" s="46" t="n"/>
      <c r="L80" s="46" t="n"/>
      <c r="M80" s="46" t="n"/>
    </row>
    <row r="81">
      <c r="A81" t="n">
        <v>78</v>
      </c>
      <c r="B81" t="inlineStr">
        <is>
          <t>기계공학과</t>
        </is>
      </c>
      <c r="C81" t="inlineStr">
        <is>
          <t>미디어커뮤니케이션학과</t>
        </is>
      </c>
      <c r="D81" t="n">
        <v>9</v>
      </c>
      <c r="E81" t="n">
        <v>21</v>
      </c>
      <c r="F81" s="48">
        <f>SUMPRODUCT(('평가'!C9:P9&lt;&gt;"")*('평가'!C21:P21&lt;&gt;""))</f>
        <v/>
      </c>
      <c r="G81" s="48">
        <f>SUMPRODUCT(('평가'!C9:P9&lt;&gt;"")*('평가'!C21:P21&lt;&gt;"")*('평가'!C9:P9='평가'!C21:P21))</f>
        <v/>
      </c>
      <c r="H81" s="49">
        <f>IF(F81=0,"",G81/F81)</f>
        <v/>
      </c>
      <c r="I81" s="46" t="n"/>
      <c r="J81" s="46" t="n"/>
      <c r="K81" s="46" t="n"/>
      <c r="L81" s="46" t="n"/>
      <c r="M81" s="46" t="n"/>
    </row>
    <row r="82">
      <c r="A82" t="n">
        <v>79</v>
      </c>
      <c r="B82" t="inlineStr">
        <is>
          <t>기계공학과</t>
        </is>
      </c>
      <c r="C82" t="inlineStr">
        <is>
          <t>화학공학과</t>
        </is>
      </c>
      <c r="D82" t="n">
        <v>9</v>
      </c>
      <c r="E82" t="n">
        <v>22</v>
      </c>
      <c r="F82" s="48">
        <f>SUMPRODUCT(('평가'!C9:P9&lt;&gt;"")*('평가'!C22:P22&lt;&gt;""))</f>
        <v/>
      </c>
      <c r="G82" s="48">
        <f>SUMPRODUCT(('평가'!C9:P9&lt;&gt;"")*('평가'!C22:P22&lt;&gt;"")*('평가'!C9:P9='평가'!C22:P22))</f>
        <v/>
      </c>
      <c r="H82" s="49">
        <f>IF(F82=0,"",G82/F82)</f>
        <v/>
      </c>
      <c r="I82" s="46" t="n"/>
      <c r="J82" s="46" t="n"/>
      <c r="K82" s="46" t="n"/>
      <c r="L82" s="46" t="n"/>
      <c r="M82" s="46" t="n"/>
    </row>
    <row r="83">
      <c r="A83" t="n">
        <v>80</v>
      </c>
      <c r="B83" t="inlineStr">
        <is>
          <t>기계공학과</t>
        </is>
      </c>
      <c r="C83" t="inlineStr">
        <is>
          <t>디자인학과</t>
        </is>
      </c>
      <c r="D83" t="n">
        <v>9</v>
      </c>
      <c r="E83" t="n">
        <v>23</v>
      </c>
      <c r="F83" s="48">
        <f>SUMPRODUCT(('평가'!C9:P9&lt;&gt;"")*('평가'!C23:P23&lt;&gt;""))</f>
        <v/>
      </c>
      <c r="G83" s="48">
        <f>SUMPRODUCT(('평가'!C9:P9&lt;&gt;"")*('평가'!C23:P23&lt;&gt;"")*('평가'!C9:P9='평가'!C23:P23))</f>
        <v/>
      </c>
      <c r="H83" s="49">
        <f>IF(F83=0,"",G83/F83)</f>
        <v/>
      </c>
      <c r="I83" s="46" t="n"/>
      <c r="J83" s="46" t="n"/>
      <c r="K83" s="46" t="n"/>
      <c r="L83" s="46" t="n"/>
      <c r="M83" s="46" t="n"/>
    </row>
    <row r="84">
      <c r="A84" t="n">
        <v>81</v>
      </c>
      <c r="B84" t="inlineStr">
        <is>
          <t>기계공학과</t>
        </is>
      </c>
      <c r="C84" t="inlineStr">
        <is>
          <t>식품영양학과</t>
        </is>
      </c>
      <c r="D84" t="n">
        <v>9</v>
      </c>
      <c r="E84" t="n">
        <v>24</v>
      </c>
      <c r="F84" s="48">
        <f>SUMPRODUCT(('평가'!C9:P9&lt;&gt;"")*('평가'!C24:P24&lt;&gt;""))</f>
        <v/>
      </c>
      <c r="G84" s="48">
        <f>SUMPRODUCT(('평가'!C9:P9&lt;&gt;"")*('평가'!C24:P24&lt;&gt;"")*('평가'!C9:P9='평가'!C24:P24))</f>
        <v/>
      </c>
      <c r="H84" s="49">
        <f>IF(F84=0,"",G84/F84)</f>
        <v/>
      </c>
      <c r="I84" s="46" t="n"/>
      <c r="J84" s="46" t="n"/>
      <c r="K84" s="46" t="n"/>
      <c r="L84" s="46" t="n"/>
      <c r="M84" s="46" t="n"/>
    </row>
    <row r="85">
      <c r="A85" t="n">
        <v>82</v>
      </c>
      <c r="B85" t="inlineStr">
        <is>
          <t>기계공학과</t>
        </is>
      </c>
      <c r="C85" t="inlineStr">
        <is>
          <t>간호학과</t>
        </is>
      </c>
      <c r="D85" t="n">
        <v>9</v>
      </c>
      <c r="E85" t="n">
        <v>25</v>
      </c>
      <c r="F85" s="48">
        <f>SUMPRODUCT(('평가'!C9:P9&lt;&gt;"")*('평가'!C25:P25&lt;&gt;""))</f>
        <v/>
      </c>
      <c r="G85" s="48">
        <f>SUMPRODUCT(('평가'!C9:P9&lt;&gt;"")*('평가'!C25:P25&lt;&gt;"")*('평가'!C9:P9='평가'!C25:P25))</f>
        <v/>
      </c>
      <c r="H85" s="49">
        <f>IF(F85=0,"",G85/F85)</f>
        <v/>
      </c>
      <c r="I85" s="46" t="n"/>
      <c r="J85" s="46" t="n"/>
      <c r="K85" s="46" t="n"/>
      <c r="L85" s="46" t="n"/>
      <c r="M85" s="46" t="n"/>
    </row>
    <row r="86">
      <c r="A86" t="n">
        <v>83</v>
      </c>
      <c r="B86" t="inlineStr">
        <is>
          <t>기계공학과</t>
        </is>
      </c>
      <c r="C86" t="inlineStr">
        <is>
          <t>전기전자공학과</t>
        </is>
      </c>
      <c r="D86" t="n">
        <v>9</v>
      </c>
      <c r="E86" t="n">
        <v>26</v>
      </c>
      <c r="F86" s="48">
        <f>SUMPRODUCT(('평가'!C9:P9&lt;&gt;"")*('평가'!C26:P26&lt;&gt;""))</f>
        <v/>
      </c>
      <c r="G86" s="48">
        <f>SUMPRODUCT(('평가'!C9:P9&lt;&gt;"")*('평가'!C26:P26&lt;&gt;"")*('평가'!C9:P9='평가'!C26:P26))</f>
        <v/>
      </c>
      <c r="H86" s="49">
        <f>IF(F86=0,"",G86/F86)</f>
        <v/>
      </c>
      <c r="I86" s="46" t="n"/>
      <c r="J86" s="46" t="n"/>
      <c r="K86" s="46" t="n"/>
      <c r="L86" s="46" t="n"/>
      <c r="M86" s="46" t="n"/>
    </row>
    <row r="87">
      <c r="A87" t="n">
        <v>84</v>
      </c>
      <c r="B87" t="inlineStr">
        <is>
          <t>기계공학과</t>
        </is>
      </c>
      <c r="C87" t="inlineStr">
        <is>
          <t>사학과</t>
        </is>
      </c>
      <c r="D87" t="n">
        <v>9</v>
      </c>
      <c r="E87" t="n">
        <v>27</v>
      </c>
      <c r="F87" s="48">
        <f>SUMPRODUCT(('평가'!C9:P9&lt;&gt;"")*('평가'!C27:P27&lt;&gt;""))</f>
        <v/>
      </c>
      <c r="G87" s="48">
        <f>SUMPRODUCT(('평가'!C9:P9&lt;&gt;"")*('평가'!C27:P27&lt;&gt;"")*('평가'!C9:P9='평가'!C27:P27))</f>
        <v/>
      </c>
      <c r="H87" s="49">
        <f>IF(F87=0,"",G87/F87)</f>
        <v/>
      </c>
      <c r="I87" s="46" t="n"/>
      <c r="J87" s="46" t="n"/>
      <c r="K87" s="46" t="n"/>
      <c r="L87" s="46" t="n"/>
      <c r="M87" s="46" t="n"/>
    </row>
    <row r="88">
      <c r="A88" t="n">
        <v>85</v>
      </c>
      <c r="B88" t="inlineStr">
        <is>
          <t>기계공학과</t>
        </is>
      </c>
      <c r="C88" t="inlineStr">
        <is>
          <t>응용통계학과</t>
        </is>
      </c>
      <c r="D88" t="n">
        <v>9</v>
      </c>
      <c r="E88" t="n">
        <v>28</v>
      </c>
      <c r="F88" s="48">
        <f>SUMPRODUCT(('평가'!C9:P9&lt;&gt;"")*('평가'!C28:P28&lt;&gt;""))</f>
        <v/>
      </c>
      <c r="G88" s="48">
        <f>SUMPRODUCT(('평가'!C9:P9&lt;&gt;"")*('평가'!C28:P28&lt;&gt;"")*('평가'!C9:P9='평가'!C28:P28))</f>
        <v/>
      </c>
      <c r="H88" s="49">
        <f>IF(F88=0,"",G88/F88)</f>
        <v/>
      </c>
      <c r="I88" s="46" t="n"/>
      <c r="J88" s="46" t="n"/>
      <c r="K88" s="46" t="n"/>
      <c r="L88" s="46" t="n"/>
      <c r="M88" s="46" t="n"/>
    </row>
    <row r="89">
      <c r="A89" t="n">
        <v>86</v>
      </c>
      <c r="B89" t="inlineStr">
        <is>
          <t>기계공학과</t>
        </is>
      </c>
      <c r="C89" t="inlineStr">
        <is>
          <t>컴퓨터공학과</t>
        </is>
      </c>
      <c r="D89" t="n">
        <v>9</v>
      </c>
      <c r="E89" t="n">
        <v>29</v>
      </c>
      <c r="F89" s="48">
        <f>SUMPRODUCT(('평가'!C9:P9&lt;&gt;"")*('평가'!C29:P29&lt;&gt;""))</f>
        <v/>
      </c>
      <c r="G89" s="48">
        <f>SUMPRODUCT(('평가'!C9:P9&lt;&gt;"")*('평가'!C29:P29&lt;&gt;"")*('평가'!C9:P9='평가'!C29:P29))</f>
        <v/>
      </c>
      <c r="H89" s="49">
        <f>IF(F89=0,"",G89/F89)</f>
        <v/>
      </c>
      <c r="I89" s="46" t="n"/>
      <c r="J89" s="46" t="n"/>
      <c r="K89" s="46" t="n"/>
      <c r="L89" s="46" t="n"/>
      <c r="M89" s="46" t="n"/>
    </row>
    <row r="90">
      <c r="A90" t="n">
        <v>87</v>
      </c>
      <c r="B90" t="inlineStr">
        <is>
          <t>화학과</t>
        </is>
      </c>
      <c r="C90" t="inlineStr">
        <is>
          <t>산업공학과</t>
        </is>
      </c>
      <c r="D90" t="n">
        <v>10</v>
      </c>
      <c r="E90" t="n">
        <v>11</v>
      </c>
      <c r="F90" s="48">
        <f>SUMPRODUCT(('평가'!C10:P10&lt;&gt;"")*('평가'!C11:P11&lt;&gt;""))</f>
        <v/>
      </c>
      <c r="G90" s="48">
        <f>SUMPRODUCT(('평가'!C10:P10&lt;&gt;"")*('평가'!C11:P11&lt;&gt;"")*('평가'!C10:P10='평가'!C11:P11))</f>
        <v/>
      </c>
      <c r="H90" s="49">
        <f>IF(F90=0,"",G90/F90)</f>
        <v/>
      </c>
      <c r="I90" s="46" t="n"/>
      <c r="J90" s="46" t="n"/>
      <c r="K90" s="46" t="n"/>
      <c r="L90" s="46" t="n"/>
      <c r="M90" s="46" t="n"/>
    </row>
    <row r="91">
      <c r="A91" t="n">
        <v>88</v>
      </c>
      <c r="B91" t="inlineStr">
        <is>
          <t>화학과</t>
        </is>
      </c>
      <c r="C91" t="inlineStr">
        <is>
          <t>신소재공학과</t>
        </is>
      </c>
      <c r="D91" t="n">
        <v>10</v>
      </c>
      <c r="E91" t="n">
        <v>12</v>
      </c>
      <c r="F91" s="48">
        <f>SUMPRODUCT(('평가'!C10:P10&lt;&gt;"")*('평가'!C12:P12&lt;&gt;""))</f>
        <v/>
      </c>
      <c r="G91" s="48">
        <f>SUMPRODUCT(('평가'!C10:P10&lt;&gt;"")*('평가'!C12:P12&lt;&gt;"")*('평가'!C10:P10='평가'!C12:P12))</f>
        <v/>
      </c>
      <c r="H91" s="49">
        <f>IF(F91=0,"",G91/F91)</f>
        <v/>
      </c>
      <c r="I91" s="46" t="n"/>
      <c r="J91" s="46" t="n"/>
      <c r="K91" s="46" t="n"/>
      <c r="L91" s="46" t="n"/>
      <c r="M91" s="46" t="n"/>
    </row>
    <row r="92">
      <c r="A92" t="n">
        <v>89</v>
      </c>
      <c r="B92" t="inlineStr">
        <is>
          <t>화학과</t>
        </is>
      </c>
      <c r="C92" t="inlineStr">
        <is>
          <t>조선해양공학과</t>
        </is>
      </c>
      <c r="D92" t="n">
        <v>10</v>
      </c>
      <c r="E92" t="n">
        <v>13</v>
      </c>
      <c r="F92" s="48">
        <f>SUMPRODUCT(('평가'!C10:P10&lt;&gt;"")*('평가'!C13:P13&lt;&gt;""))</f>
        <v/>
      </c>
      <c r="G92" s="48">
        <f>SUMPRODUCT(('평가'!C10:P10&lt;&gt;"")*('평가'!C13:P13&lt;&gt;"")*('평가'!C10:P10='평가'!C13:P13))</f>
        <v/>
      </c>
      <c r="H92" s="49">
        <f>IF(F92=0,"",G92/F92)</f>
        <v/>
      </c>
      <c r="I92" s="46" t="n"/>
      <c r="J92" s="46" t="n"/>
      <c r="K92" s="46" t="n"/>
      <c r="L92" s="46" t="n"/>
      <c r="M92" s="46" t="n"/>
    </row>
    <row r="93">
      <c r="A93" t="n">
        <v>90</v>
      </c>
      <c r="B93" t="inlineStr">
        <is>
          <t>화학과</t>
        </is>
      </c>
      <c r="C93" t="inlineStr">
        <is>
          <t>의예과</t>
        </is>
      </c>
      <c r="D93" t="n">
        <v>10</v>
      </c>
      <c r="E93" t="n">
        <v>14</v>
      </c>
      <c r="F93" s="48">
        <f>SUMPRODUCT(('평가'!C10:P10&lt;&gt;"")*('평가'!C14:P14&lt;&gt;""))</f>
        <v/>
      </c>
      <c r="G93" s="48">
        <f>SUMPRODUCT(('평가'!C10:P10&lt;&gt;"")*('평가'!C14:P14&lt;&gt;"")*('평가'!C10:P10='평가'!C14:P14))</f>
        <v/>
      </c>
      <c r="H93" s="49">
        <f>IF(F93=0,"",G93/F93)</f>
        <v/>
      </c>
      <c r="I93" s="46" t="n"/>
      <c r="J93" s="46" t="n"/>
      <c r="K93" s="46" t="n"/>
      <c r="L93" s="46" t="n"/>
      <c r="M93" s="46" t="n"/>
    </row>
    <row r="94">
      <c r="A94" t="n">
        <v>91</v>
      </c>
      <c r="B94" t="inlineStr">
        <is>
          <t>화학과</t>
        </is>
      </c>
      <c r="C94" t="inlineStr">
        <is>
          <t>수학과</t>
        </is>
      </c>
      <c r="D94" t="n">
        <v>10</v>
      </c>
      <c r="E94" t="n">
        <v>15</v>
      </c>
      <c r="F94" s="48">
        <f>SUMPRODUCT(('평가'!C10:P10&lt;&gt;"")*('평가'!C15:P15&lt;&gt;""))</f>
        <v/>
      </c>
      <c r="G94" s="48">
        <f>SUMPRODUCT(('평가'!C10:P10&lt;&gt;"")*('평가'!C15:P15&lt;&gt;"")*('평가'!C10:P10='평가'!C15:P15))</f>
        <v/>
      </c>
      <c r="H94" s="49">
        <f>IF(F94=0,"",G94/F94)</f>
        <v/>
      </c>
      <c r="I94" s="46" t="n"/>
      <c r="J94" s="46" t="n"/>
      <c r="K94" s="46" t="n"/>
      <c r="L94" s="46" t="n"/>
      <c r="M94" s="46" t="n"/>
    </row>
    <row r="95">
      <c r="A95" t="n">
        <v>92</v>
      </c>
      <c r="B95" t="inlineStr">
        <is>
          <t>화학과</t>
        </is>
      </c>
      <c r="C95" t="inlineStr">
        <is>
          <t>경영학과</t>
        </is>
      </c>
      <c r="D95" t="n">
        <v>10</v>
      </c>
      <c r="E95" t="n">
        <v>16</v>
      </c>
      <c r="F95" s="48">
        <f>SUMPRODUCT(('평가'!C10:P10&lt;&gt;"")*('평가'!C16:P16&lt;&gt;""))</f>
        <v/>
      </c>
      <c r="G95" s="48">
        <f>SUMPRODUCT(('평가'!C10:P10&lt;&gt;"")*('평가'!C16:P16&lt;&gt;"")*('평가'!C10:P10='평가'!C16:P16))</f>
        <v/>
      </c>
      <c r="H95" s="49">
        <f>IF(F95=0,"",G95/F95)</f>
        <v/>
      </c>
      <c r="I95" s="46" t="n"/>
      <c r="J95" s="46" t="n"/>
      <c r="K95" s="46" t="n"/>
      <c r="L95" s="46" t="n"/>
      <c r="M95" s="46" t="n"/>
    </row>
    <row r="96">
      <c r="A96" t="n">
        <v>93</v>
      </c>
      <c r="B96" t="inlineStr">
        <is>
          <t>화학과</t>
        </is>
      </c>
      <c r="C96" t="inlineStr">
        <is>
          <t>약학과</t>
        </is>
      </c>
      <c r="D96" t="n">
        <v>10</v>
      </c>
      <c r="E96" t="n">
        <v>17</v>
      </c>
      <c r="F96" s="48">
        <f>SUMPRODUCT(('평가'!C10:P10&lt;&gt;"")*('평가'!C17:P17&lt;&gt;""))</f>
        <v/>
      </c>
      <c r="G96" s="48">
        <f>SUMPRODUCT(('평가'!C10:P10&lt;&gt;"")*('평가'!C17:P17&lt;&gt;"")*('평가'!C10:P10='평가'!C17:P17))</f>
        <v/>
      </c>
      <c r="H96" s="49">
        <f>IF(F96=0,"",G96/F96)</f>
        <v/>
      </c>
      <c r="I96" s="46" t="n"/>
      <c r="J96" s="46" t="n"/>
      <c r="K96" s="46" t="n"/>
      <c r="L96" s="46" t="n"/>
      <c r="M96" s="46" t="n"/>
    </row>
    <row r="97">
      <c r="A97" t="n">
        <v>94</v>
      </c>
      <c r="B97" t="inlineStr">
        <is>
          <t>화학과</t>
        </is>
      </c>
      <c r="C97" t="inlineStr">
        <is>
          <t>사회학과</t>
        </is>
      </c>
      <c r="D97" t="n">
        <v>10</v>
      </c>
      <c r="E97" t="n">
        <v>18</v>
      </c>
      <c r="F97" s="48">
        <f>SUMPRODUCT(('평가'!C10:P10&lt;&gt;"")*('평가'!C18:P18&lt;&gt;""))</f>
        <v/>
      </c>
      <c r="G97" s="48">
        <f>SUMPRODUCT(('평가'!C10:P10&lt;&gt;"")*('평가'!C18:P18&lt;&gt;"")*('평가'!C10:P10='평가'!C18:P18))</f>
        <v/>
      </c>
      <c r="H97" s="49">
        <f>IF(F97=0,"",G97/F97)</f>
        <v/>
      </c>
      <c r="I97" s="46" t="n"/>
      <c r="J97" s="46" t="n"/>
      <c r="K97" s="46" t="n"/>
      <c r="L97" s="46" t="n"/>
      <c r="M97" s="46" t="n"/>
    </row>
    <row r="98">
      <c r="A98" t="n">
        <v>95</v>
      </c>
      <c r="B98" t="inlineStr">
        <is>
          <t>화학과</t>
        </is>
      </c>
      <c r="C98" t="inlineStr">
        <is>
          <t>경제학과</t>
        </is>
      </c>
      <c r="D98" t="n">
        <v>10</v>
      </c>
      <c r="E98" t="n">
        <v>19</v>
      </c>
      <c r="F98" s="48">
        <f>SUMPRODUCT(('평가'!C10:P10&lt;&gt;"")*('평가'!C19:P19&lt;&gt;""))</f>
        <v/>
      </c>
      <c r="G98" s="48">
        <f>SUMPRODUCT(('평가'!C10:P10&lt;&gt;"")*('평가'!C19:P19&lt;&gt;"")*('평가'!C10:P10='평가'!C19:P19))</f>
        <v/>
      </c>
      <c r="H98" s="49">
        <f>IF(F98=0,"",G98/F98)</f>
        <v/>
      </c>
      <c r="I98" s="46" t="n"/>
      <c r="J98" s="46" t="n"/>
      <c r="K98" s="46" t="n"/>
      <c r="L98" s="46" t="n"/>
      <c r="M98" s="46" t="n"/>
    </row>
    <row r="99">
      <c r="A99" t="n">
        <v>96</v>
      </c>
      <c r="B99" t="inlineStr">
        <is>
          <t>화학과</t>
        </is>
      </c>
      <c r="C99" t="inlineStr">
        <is>
          <t>생명과학과</t>
        </is>
      </c>
      <c r="D99" t="n">
        <v>10</v>
      </c>
      <c r="E99" t="n">
        <v>20</v>
      </c>
      <c r="F99" s="48">
        <f>SUMPRODUCT(('평가'!C10:P10&lt;&gt;"")*('평가'!C20:P20&lt;&gt;""))</f>
        <v/>
      </c>
      <c r="G99" s="48">
        <f>SUMPRODUCT(('평가'!C10:P10&lt;&gt;"")*('평가'!C20:P20&lt;&gt;"")*('평가'!C10:P10='평가'!C20:P20))</f>
        <v/>
      </c>
      <c r="H99" s="49">
        <f>IF(F99=0,"",G99/F99)</f>
        <v/>
      </c>
      <c r="I99" s="46" t="n"/>
      <c r="J99" s="46" t="n"/>
      <c r="K99" s="46" t="n"/>
      <c r="L99" s="46" t="n"/>
      <c r="M99" s="46" t="n"/>
    </row>
    <row r="100">
      <c r="A100" t="n">
        <v>97</v>
      </c>
      <c r="B100" t="inlineStr">
        <is>
          <t>화학과</t>
        </is>
      </c>
      <c r="C100" t="inlineStr">
        <is>
          <t>미디어커뮤니케이션학과</t>
        </is>
      </c>
      <c r="D100" t="n">
        <v>10</v>
      </c>
      <c r="E100" t="n">
        <v>21</v>
      </c>
      <c r="F100" s="48">
        <f>SUMPRODUCT(('평가'!C10:P10&lt;&gt;"")*('평가'!C21:P21&lt;&gt;""))</f>
        <v/>
      </c>
      <c r="G100" s="48">
        <f>SUMPRODUCT(('평가'!C10:P10&lt;&gt;"")*('평가'!C21:P21&lt;&gt;"")*('평가'!C10:P10='평가'!C21:P21))</f>
        <v/>
      </c>
      <c r="H100" s="49">
        <f>IF(F100=0,"",G100/F100)</f>
        <v/>
      </c>
      <c r="I100" s="46" t="n"/>
      <c r="J100" s="46" t="n"/>
      <c r="K100" s="46" t="n"/>
      <c r="L100" s="46" t="n"/>
      <c r="M100" s="46" t="n"/>
    </row>
    <row r="101">
      <c r="A101" t="n">
        <v>98</v>
      </c>
      <c r="B101" t="inlineStr">
        <is>
          <t>화학과</t>
        </is>
      </c>
      <c r="C101" t="inlineStr">
        <is>
          <t>화학공학과</t>
        </is>
      </c>
      <c r="D101" t="n">
        <v>10</v>
      </c>
      <c r="E101" t="n">
        <v>22</v>
      </c>
      <c r="F101" s="48">
        <f>SUMPRODUCT(('평가'!C10:P10&lt;&gt;"")*('평가'!C22:P22&lt;&gt;""))</f>
        <v/>
      </c>
      <c r="G101" s="48">
        <f>SUMPRODUCT(('평가'!C10:P10&lt;&gt;"")*('평가'!C22:P22&lt;&gt;"")*('평가'!C10:P10='평가'!C22:P22))</f>
        <v/>
      </c>
      <c r="H101" s="49">
        <f>IF(F101=0,"",G101/F101)</f>
        <v/>
      </c>
      <c r="I101" s="46" t="n"/>
      <c r="J101" s="46" t="n"/>
      <c r="K101" s="46" t="n"/>
      <c r="L101" s="46" t="n"/>
      <c r="M101" s="46" t="n"/>
    </row>
    <row r="102">
      <c r="A102" t="n">
        <v>99</v>
      </c>
      <c r="B102" t="inlineStr">
        <is>
          <t>화학과</t>
        </is>
      </c>
      <c r="C102" t="inlineStr">
        <is>
          <t>디자인학과</t>
        </is>
      </c>
      <c r="D102" t="n">
        <v>10</v>
      </c>
      <c r="E102" t="n">
        <v>23</v>
      </c>
      <c r="F102" s="48">
        <f>SUMPRODUCT(('평가'!C10:P10&lt;&gt;"")*('평가'!C23:P23&lt;&gt;""))</f>
        <v/>
      </c>
      <c r="G102" s="48">
        <f>SUMPRODUCT(('평가'!C10:P10&lt;&gt;"")*('평가'!C23:P23&lt;&gt;"")*('평가'!C10:P10='평가'!C23:P23))</f>
        <v/>
      </c>
      <c r="H102" s="49">
        <f>IF(F102=0,"",G102/F102)</f>
        <v/>
      </c>
      <c r="I102" s="46" t="n"/>
      <c r="J102" s="46" t="n"/>
      <c r="K102" s="46" t="n"/>
      <c r="L102" s="46" t="n"/>
      <c r="M102" s="46" t="n"/>
    </row>
    <row r="103">
      <c r="A103" t="n">
        <v>100</v>
      </c>
      <c r="B103" t="inlineStr">
        <is>
          <t>화학과</t>
        </is>
      </c>
      <c r="C103" t="inlineStr">
        <is>
          <t>식품영양학과</t>
        </is>
      </c>
      <c r="D103" t="n">
        <v>10</v>
      </c>
      <c r="E103" t="n">
        <v>24</v>
      </c>
      <c r="F103" s="48">
        <f>SUMPRODUCT(('평가'!C10:P10&lt;&gt;"")*('평가'!C24:P24&lt;&gt;""))</f>
        <v/>
      </c>
      <c r="G103" s="48">
        <f>SUMPRODUCT(('평가'!C10:P10&lt;&gt;"")*('평가'!C24:P24&lt;&gt;"")*('평가'!C10:P10='평가'!C24:P24))</f>
        <v/>
      </c>
      <c r="H103" s="49">
        <f>IF(F103=0,"",G103/F103)</f>
        <v/>
      </c>
      <c r="I103" s="46" t="n"/>
      <c r="J103" s="46" t="n"/>
      <c r="K103" s="46" t="n"/>
      <c r="L103" s="46" t="n"/>
      <c r="M103" s="46" t="n"/>
    </row>
    <row r="104">
      <c r="A104" t="n">
        <v>101</v>
      </c>
      <c r="B104" t="inlineStr">
        <is>
          <t>화학과</t>
        </is>
      </c>
      <c r="C104" t="inlineStr">
        <is>
          <t>간호학과</t>
        </is>
      </c>
      <c r="D104" t="n">
        <v>10</v>
      </c>
      <c r="E104" t="n">
        <v>25</v>
      </c>
      <c r="F104" s="48">
        <f>SUMPRODUCT(('평가'!C10:P10&lt;&gt;"")*('평가'!C25:P25&lt;&gt;""))</f>
        <v/>
      </c>
      <c r="G104" s="48">
        <f>SUMPRODUCT(('평가'!C10:P10&lt;&gt;"")*('평가'!C25:P25&lt;&gt;"")*('평가'!C10:P10='평가'!C25:P25))</f>
        <v/>
      </c>
      <c r="H104" s="49">
        <f>IF(F104=0,"",G104/F104)</f>
        <v/>
      </c>
      <c r="I104" s="46" t="n"/>
      <c r="J104" s="46" t="n"/>
      <c r="K104" s="46" t="n"/>
      <c r="L104" s="46" t="n"/>
      <c r="M104" s="46" t="n"/>
    </row>
    <row r="105">
      <c r="A105" t="n">
        <v>102</v>
      </c>
      <c r="B105" t="inlineStr">
        <is>
          <t>화학과</t>
        </is>
      </c>
      <c r="C105" t="inlineStr">
        <is>
          <t>전기전자공학과</t>
        </is>
      </c>
      <c r="D105" t="n">
        <v>10</v>
      </c>
      <c r="E105" t="n">
        <v>26</v>
      </c>
      <c r="F105" s="48">
        <f>SUMPRODUCT(('평가'!C10:P10&lt;&gt;"")*('평가'!C26:P26&lt;&gt;""))</f>
        <v/>
      </c>
      <c r="G105" s="48">
        <f>SUMPRODUCT(('평가'!C10:P10&lt;&gt;"")*('평가'!C26:P26&lt;&gt;"")*('평가'!C10:P10='평가'!C26:P26))</f>
        <v/>
      </c>
      <c r="H105" s="49">
        <f>IF(F105=0,"",G105/F105)</f>
        <v/>
      </c>
      <c r="I105" s="46" t="n"/>
      <c r="J105" s="46" t="n"/>
      <c r="K105" s="46" t="n"/>
      <c r="L105" s="46" t="n"/>
      <c r="M105" s="46" t="n"/>
    </row>
    <row r="106">
      <c r="A106" t="n">
        <v>103</v>
      </c>
      <c r="B106" t="inlineStr">
        <is>
          <t>화학과</t>
        </is>
      </c>
      <c r="C106" t="inlineStr">
        <is>
          <t>사학과</t>
        </is>
      </c>
      <c r="D106" t="n">
        <v>10</v>
      </c>
      <c r="E106" t="n">
        <v>27</v>
      </c>
      <c r="F106" s="48">
        <f>SUMPRODUCT(('평가'!C10:P10&lt;&gt;"")*('평가'!C27:P27&lt;&gt;""))</f>
        <v/>
      </c>
      <c r="G106" s="48">
        <f>SUMPRODUCT(('평가'!C10:P10&lt;&gt;"")*('평가'!C27:P27&lt;&gt;"")*('평가'!C10:P10='평가'!C27:P27))</f>
        <v/>
      </c>
      <c r="H106" s="49">
        <f>IF(F106=0,"",G106/F106)</f>
        <v/>
      </c>
      <c r="I106" s="46" t="n"/>
      <c r="J106" s="46" t="n"/>
      <c r="K106" s="46" t="n"/>
      <c r="L106" s="46" t="n"/>
      <c r="M106" s="46" t="n"/>
    </row>
    <row r="107">
      <c r="A107" t="n">
        <v>104</v>
      </c>
      <c r="B107" t="inlineStr">
        <is>
          <t>화학과</t>
        </is>
      </c>
      <c r="C107" t="inlineStr">
        <is>
          <t>응용통계학과</t>
        </is>
      </c>
      <c r="D107" t="n">
        <v>10</v>
      </c>
      <c r="E107" t="n">
        <v>28</v>
      </c>
      <c r="F107" s="48">
        <f>SUMPRODUCT(('평가'!C10:P10&lt;&gt;"")*('평가'!C28:P28&lt;&gt;""))</f>
        <v/>
      </c>
      <c r="G107" s="48">
        <f>SUMPRODUCT(('평가'!C10:P10&lt;&gt;"")*('평가'!C28:P28&lt;&gt;"")*('평가'!C10:P10='평가'!C28:P28))</f>
        <v/>
      </c>
      <c r="H107" s="49">
        <f>IF(F107=0,"",G107/F107)</f>
        <v/>
      </c>
      <c r="I107" s="46" t="n"/>
      <c r="J107" s="46" t="n"/>
      <c r="K107" s="46" t="n"/>
      <c r="L107" s="46" t="n"/>
      <c r="M107" s="46" t="n"/>
    </row>
    <row r="108">
      <c r="A108" t="n">
        <v>105</v>
      </c>
      <c r="B108" t="inlineStr">
        <is>
          <t>화학과</t>
        </is>
      </c>
      <c r="C108" t="inlineStr">
        <is>
          <t>컴퓨터공학과</t>
        </is>
      </c>
      <c r="D108" t="n">
        <v>10</v>
      </c>
      <c r="E108" t="n">
        <v>29</v>
      </c>
      <c r="F108" s="48">
        <f>SUMPRODUCT(('평가'!C10:P10&lt;&gt;"")*('평가'!C29:P29&lt;&gt;""))</f>
        <v/>
      </c>
      <c r="G108" s="48">
        <f>SUMPRODUCT(('평가'!C10:P10&lt;&gt;"")*('평가'!C29:P29&lt;&gt;"")*('평가'!C10:P10='평가'!C29:P29))</f>
        <v/>
      </c>
      <c r="H108" s="49">
        <f>IF(F108=0,"",G108/F108)</f>
        <v/>
      </c>
      <c r="I108" s="46" t="n"/>
      <c r="J108" s="46" t="n"/>
      <c r="K108" s="46" t="n"/>
      <c r="L108" s="46" t="n"/>
      <c r="M108" s="46" t="n"/>
    </row>
    <row r="109">
      <c r="A109" t="n">
        <v>106</v>
      </c>
      <c r="B109" t="inlineStr">
        <is>
          <t>산업공학과</t>
        </is>
      </c>
      <c r="C109" t="inlineStr">
        <is>
          <t>신소재공학과</t>
        </is>
      </c>
      <c r="D109" t="n">
        <v>11</v>
      </c>
      <c r="E109" t="n">
        <v>12</v>
      </c>
      <c r="F109" s="48">
        <f>SUMPRODUCT(('평가'!C11:P11&lt;&gt;"")*('평가'!C12:P12&lt;&gt;""))</f>
        <v/>
      </c>
      <c r="G109" s="48">
        <f>SUMPRODUCT(('평가'!C11:P11&lt;&gt;"")*('평가'!C12:P12&lt;&gt;"")*('평가'!C11:P11='평가'!C12:P12))</f>
        <v/>
      </c>
      <c r="H109" s="49">
        <f>IF(F109=0,"",G109/F109)</f>
        <v/>
      </c>
      <c r="I109" s="46" t="n"/>
      <c r="J109" s="46" t="n"/>
      <c r="K109" s="46" t="n"/>
      <c r="L109" s="46" t="n"/>
      <c r="M109" s="46" t="n"/>
    </row>
    <row r="110">
      <c r="A110" t="n">
        <v>107</v>
      </c>
      <c r="B110" t="inlineStr">
        <is>
          <t>산업공학과</t>
        </is>
      </c>
      <c r="C110" t="inlineStr">
        <is>
          <t>조선해양공학과</t>
        </is>
      </c>
      <c r="D110" t="n">
        <v>11</v>
      </c>
      <c r="E110" t="n">
        <v>13</v>
      </c>
      <c r="F110" s="48">
        <f>SUMPRODUCT(('평가'!C11:P11&lt;&gt;"")*('평가'!C13:P13&lt;&gt;""))</f>
        <v/>
      </c>
      <c r="G110" s="48">
        <f>SUMPRODUCT(('평가'!C11:P11&lt;&gt;"")*('평가'!C13:P13&lt;&gt;"")*('평가'!C11:P11='평가'!C13:P13))</f>
        <v/>
      </c>
      <c r="H110" s="49">
        <f>IF(F110=0,"",G110/F110)</f>
        <v/>
      </c>
      <c r="I110" s="46" t="n"/>
      <c r="J110" s="46" t="n"/>
      <c r="K110" s="46" t="n"/>
      <c r="L110" s="46" t="n"/>
      <c r="M110" s="46" t="n"/>
    </row>
    <row r="111">
      <c r="A111" t="n">
        <v>108</v>
      </c>
      <c r="B111" t="inlineStr">
        <is>
          <t>산업공학과</t>
        </is>
      </c>
      <c r="C111" t="inlineStr">
        <is>
          <t>의예과</t>
        </is>
      </c>
      <c r="D111" t="n">
        <v>11</v>
      </c>
      <c r="E111" t="n">
        <v>14</v>
      </c>
      <c r="F111" s="48">
        <f>SUMPRODUCT(('평가'!C11:P11&lt;&gt;"")*('평가'!C14:P14&lt;&gt;""))</f>
        <v/>
      </c>
      <c r="G111" s="48">
        <f>SUMPRODUCT(('평가'!C11:P11&lt;&gt;"")*('평가'!C14:P14&lt;&gt;"")*('평가'!C11:P11='평가'!C14:P14))</f>
        <v/>
      </c>
      <c r="H111" s="49">
        <f>IF(F111=0,"",G111/F111)</f>
        <v/>
      </c>
      <c r="I111" s="46" t="n"/>
      <c r="J111" s="46" t="n"/>
      <c r="K111" s="46" t="n"/>
      <c r="L111" s="46" t="n"/>
      <c r="M111" s="46" t="n"/>
    </row>
    <row r="112">
      <c r="A112" t="n">
        <v>109</v>
      </c>
      <c r="B112" t="inlineStr">
        <is>
          <t>산업공학과</t>
        </is>
      </c>
      <c r="C112" t="inlineStr">
        <is>
          <t>수학과</t>
        </is>
      </c>
      <c r="D112" t="n">
        <v>11</v>
      </c>
      <c r="E112" t="n">
        <v>15</v>
      </c>
      <c r="F112" s="48">
        <f>SUMPRODUCT(('평가'!C11:P11&lt;&gt;"")*('평가'!C15:P15&lt;&gt;""))</f>
        <v/>
      </c>
      <c r="G112" s="48">
        <f>SUMPRODUCT(('평가'!C11:P11&lt;&gt;"")*('평가'!C15:P15&lt;&gt;"")*('평가'!C11:P11='평가'!C15:P15))</f>
        <v/>
      </c>
      <c r="H112" s="49">
        <f>IF(F112=0,"",G112/F112)</f>
        <v/>
      </c>
      <c r="I112" s="46" t="n"/>
      <c r="J112" s="46" t="n"/>
      <c r="K112" s="46" t="n"/>
      <c r="L112" s="46" t="n"/>
      <c r="M112" s="46" t="n"/>
    </row>
    <row r="113">
      <c r="A113" t="n">
        <v>110</v>
      </c>
      <c r="B113" t="inlineStr">
        <is>
          <t>산업공학과</t>
        </is>
      </c>
      <c r="C113" t="inlineStr">
        <is>
          <t>경영학과</t>
        </is>
      </c>
      <c r="D113" t="n">
        <v>11</v>
      </c>
      <c r="E113" t="n">
        <v>16</v>
      </c>
      <c r="F113" s="48">
        <f>SUMPRODUCT(('평가'!C11:P11&lt;&gt;"")*('평가'!C16:P16&lt;&gt;""))</f>
        <v/>
      </c>
      <c r="G113" s="48">
        <f>SUMPRODUCT(('평가'!C11:P11&lt;&gt;"")*('평가'!C16:P16&lt;&gt;"")*('평가'!C11:P11='평가'!C16:P16))</f>
        <v/>
      </c>
      <c r="H113" s="49">
        <f>IF(F113=0,"",G113/F113)</f>
        <v/>
      </c>
      <c r="I113" s="46" t="n"/>
      <c r="J113" s="46" t="n"/>
      <c r="K113" s="46" t="n"/>
      <c r="L113" s="46" t="n"/>
      <c r="M113" s="46" t="n"/>
    </row>
    <row r="114">
      <c r="A114" t="n">
        <v>111</v>
      </c>
      <c r="B114" t="inlineStr">
        <is>
          <t>산업공학과</t>
        </is>
      </c>
      <c r="C114" t="inlineStr">
        <is>
          <t>약학과</t>
        </is>
      </c>
      <c r="D114" t="n">
        <v>11</v>
      </c>
      <c r="E114" t="n">
        <v>17</v>
      </c>
      <c r="F114" s="48">
        <f>SUMPRODUCT(('평가'!C11:P11&lt;&gt;"")*('평가'!C17:P17&lt;&gt;""))</f>
        <v/>
      </c>
      <c r="G114" s="48">
        <f>SUMPRODUCT(('평가'!C11:P11&lt;&gt;"")*('평가'!C17:P17&lt;&gt;"")*('평가'!C11:P11='평가'!C17:P17))</f>
        <v/>
      </c>
      <c r="H114" s="49">
        <f>IF(F114=0,"",G114/F114)</f>
        <v/>
      </c>
      <c r="I114" s="46" t="n"/>
      <c r="J114" s="46" t="n"/>
      <c r="K114" s="46" t="n"/>
      <c r="L114" s="46" t="n"/>
      <c r="M114" s="46" t="n"/>
    </row>
    <row r="115">
      <c r="A115" t="n">
        <v>112</v>
      </c>
      <c r="B115" t="inlineStr">
        <is>
          <t>산업공학과</t>
        </is>
      </c>
      <c r="C115" t="inlineStr">
        <is>
          <t>사회학과</t>
        </is>
      </c>
      <c r="D115" t="n">
        <v>11</v>
      </c>
      <c r="E115" t="n">
        <v>18</v>
      </c>
      <c r="F115" s="48">
        <f>SUMPRODUCT(('평가'!C11:P11&lt;&gt;"")*('평가'!C18:P18&lt;&gt;""))</f>
        <v/>
      </c>
      <c r="G115" s="48">
        <f>SUMPRODUCT(('평가'!C11:P11&lt;&gt;"")*('평가'!C18:P18&lt;&gt;"")*('평가'!C11:P11='평가'!C18:P18))</f>
        <v/>
      </c>
      <c r="H115" s="49">
        <f>IF(F115=0,"",G115/F115)</f>
        <v/>
      </c>
      <c r="I115" s="46" t="n"/>
      <c r="J115" s="46" t="n"/>
      <c r="K115" s="46" t="n"/>
      <c r="L115" s="46" t="n"/>
      <c r="M115" s="46" t="n"/>
    </row>
    <row r="116">
      <c r="A116" t="n">
        <v>113</v>
      </c>
      <c r="B116" t="inlineStr">
        <is>
          <t>산업공학과</t>
        </is>
      </c>
      <c r="C116" t="inlineStr">
        <is>
          <t>경제학과</t>
        </is>
      </c>
      <c r="D116" t="n">
        <v>11</v>
      </c>
      <c r="E116" t="n">
        <v>19</v>
      </c>
      <c r="F116" s="48">
        <f>SUMPRODUCT(('평가'!C11:P11&lt;&gt;"")*('평가'!C19:P19&lt;&gt;""))</f>
        <v/>
      </c>
      <c r="G116" s="48">
        <f>SUMPRODUCT(('평가'!C11:P11&lt;&gt;"")*('평가'!C19:P19&lt;&gt;"")*('평가'!C11:P11='평가'!C19:P19))</f>
        <v/>
      </c>
      <c r="H116" s="49">
        <f>IF(F116=0,"",G116/F116)</f>
        <v/>
      </c>
      <c r="I116" s="46" t="n"/>
      <c r="J116" s="46" t="n"/>
      <c r="K116" s="46" t="n"/>
      <c r="L116" s="46" t="n"/>
      <c r="M116" s="46" t="n"/>
    </row>
    <row r="117">
      <c r="A117" t="n">
        <v>114</v>
      </c>
      <c r="B117" t="inlineStr">
        <is>
          <t>산업공학과</t>
        </is>
      </c>
      <c r="C117" t="inlineStr">
        <is>
          <t>생명과학과</t>
        </is>
      </c>
      <c r="D117" t="n">
        <v>11</v>
      </c>
      <c r="E117" t="n">
        <v>20</v>
      </c>
      <c r="F117" s="48">
        <f>SUMPRODUCT(('평가'!C11:P11&lt;&gt;"")*('평가'!C20:P20&lt;&gt;""))</f>
        <v/>
      </c>
      <c r="G117" s="48">
        <f>SUMPRODUCT(('평가'!C11:P11&lt;&gt;"")*('평가'!C20:P20&lt;&gt;"")*('평가'!C11:P11='평가'!C20:P20))</f>
        <v/>
      </c>
      <c r="H117" s="49">
        <f>IF(F117=0,"",G117/F117)</f>
        <v/>
      </c>
      <c r="I117" s="46" t="n"/>
      <c r="J117" s="46" t="n"/>
      <c r="K117" s="46" t="n"/>
      <c r="L117" s="46" t="n"/>
      <c r="M117" s="46" t="n"/>
    </row>
    <row r="118">
      <c r="A118" t="n">
        <v>115</v>
      </c>
      <c r="B118" t="inlineStr">
        <is>
          <t>산업공학과</t>
        </is>
      </c>
      <c r="C118" t="inlineStr">
        <is>
          <t>미디어커뮤니케이션학과</t>
        </is>
      </c>
      <c r="D118" t="n">
        <v>11</v>
      </c>
      <c r="E118" t="n">
        <v>21</v>
      </c>
      <c r="F118" s="48">
        <f>SUMPRODUCT(('평가'!C11:P11&lt;&gt;"")*('평가'!C21:P21&lt;&gt;""))</f>
        <v/>
      </c>
      <c r="G118" s="48">
        <f>SUMPRODUCT(('평가'!C11:P11&lt;&gt;"")*('평가'!C21:P21&lt;&gt;"")*('평가'!C11:P11='평가'!C21:P21))</f>
        <v/>
      </c>
      <c r="H118" s="49">
        <f>IF(F118=0,"",G118/F118)</f>
        <v/>
      </c>
      <c r="I118" s="46" t="n"/>
      <c r="J118" s="46" t="n"/>
      <c r="K118" s="46" t="n"/>
      <c r="L118" s="46" t="n"/>
      <c r="M118" s="46" t="n"/>
    </row>
    <row r="119">
      <c r="A119" t="n">
        <v>116</v>
      </c>
      <c r="B119" t="inlineStr">
        <is>
          <t>산업공학과</t>
        </is>
      </c>
      <c r="C119" t="inlineStr">
        <is>
          <t>화학공학과</t>
        </is>
      </c>
      <c r="D119" t="n">
        <v>11</v>
      </c>
      <c r="E119" t="n">
        <v>22</v>
      </c>
      <c r="F119" s="48">
        <f>SUMPRODUCT(('평가'!C11:P11&lt;&gt;"")*('평가'!C22:P22&lt;&gt;""))</f>
        <v/>
      </c>
      <c r="G119" s="48">
        <f>SUMPRODUCT(('평가'!C11:P11&lt;&gt;"")*('평가'!C22:P22&lt;&gt;"")*('평가'!C11:P11='평가'!C22:P22))</f>
        <v/>
      </c>
      <c r="H119" s="49">
        <f>IF(F119=0,"",G119/F119)</f>
        <v/>
      </c>
      <c r="I119" s="46" t="n"/>
      <c r="J119" s="46" t="n"/>
      <c r="K119" s="46" t="n"/>
      <c r="L119" s="46" t="n"/>
      <c r="M119" s="46" t="n"/>
    </row>
    <row r="120">
      <c r="A120" t="n">
        <v>117</v>
      </c>
      <c r="B120" t="inlineStr">
        <is>
          <t>산업공학과</t>
        </is>
      </c>
      <c r="C120" t="inlineStr">
        <is>
          <t>디자인학과</t>
        </is>
      </c>
      <c r="D120" t="n">
        <v>11</v>
      </c>
      <c r="E120" t="n">
        <v>23</v>
      </c>
      <c r="F120" s="48">
        <f>SUMPRODUCT(('평가'!C11:P11&lt;&gt;"")*('평가'!C23:P23&lt;&gt;""))</f>
        <v/>
      </c>
      <c r="G120" s="48">
        <f>SUMPRODUCT(('평가'!C11:P11&lt;&gt;"")*('평가'!C23:P23&lt;&gt;"")*('평가'!C11:P11='평가'!C23:P23))</f>
        <v/>
      </c>
      <c r="H120" s="49">
        <f>IF(F120=0,"",G120/F120)</f>
        <v/>
      </c>
      <c r="I120" s="46" t="n"/>
      <c r="J120" s="46" t="n"/>
      <c r="K120" s="46" t="n"/>
      <c r="L120" s="46" t="n"/>
      <c r="M120" s="46" t="n"/>
    </row>
    <row r="121">
      <c r="A121" t="n">
        <v>118</v>
      </c>
      <c r="B121" t="inlineStr">
        <is>
          <t>산업공학과</t>
        </is>
      </c>
      <c r="C121" t="inlineStr">
        <is>
          <t>식품영양학과</t>
        </is>
      </c>
      <c r="D121" t="n">
        <v>11</v>
      </c>
      <c r="E121" t="n">
        <v>24</v>
      </c>
      <c r="F121" s="48">
        <f>SUMPRODUCT(('평가'!C11:P11&lt;&gt;"")*('평가'!C24:P24&lt;&gt;""))</f>
        <v/>
      </c>
      <c r="G121" s="48">
        <f>SUMPRODUCT(('평가'!C11:P11&lt;&gt;"")*('평가'!C24:P24&lt;&gt;"")*('평가'!C11:P11='평가'!C24:P24))</f>
        <v/>
      </c>
      <c r="H121" s="49">
        <f>IF(F121=0,"",G121/F121)</f>
        <v/>
      </c>
      <c r="I121" s="46" t="n"/>
      <c r="J121" s="46" t="n"/>
      <c r="K121" s="46" t="n"/>
      <c r="L121" s="46" t="n"/>
      <c r="M121" s="46" t="n"/>
    </row>
    <row r="122">
      <c r="A122" t="n">
        <v>119</v>
      </c>
      <c r="B122" t="inlineStr">
        <is>
          <t>산업공학과</t>
        </is>
      </c>
      <c r="C122" t="inlineStr">
        <is>
          <t>간호학과</t>
        </is>
      </c>
      <c r="D122" t="n">
        <v>11</v>
      </c>
      <c r="E122" t="n">
        <v>25</v>
      </c>
      <c r="F122" s="48">
        <f>SUMPRODUCT(('평가'!C11:P11&lt;&gt;"")*('평가'!C25:P25&lt;&gt;""))</f>
        <v/>
      </c>
      <c r="G122" s="48">
        <f>SUMPRODUCT(('평가'!C11:P11&lt;&gt;"")*('평가'!C25:P25&lt;&gt;"")*('평가'!C11:P11='평가'!C25:P25))</f>
        <v/>
      </c>
      <c r="H122" s="49">
        <f>IF(F122=0,"",G122/F122)</f>
        <v/>
      </c>
      <c r="I122" s="46" t="n"/>
      <c r="J122" s="46" t="n"/>
      <c r="K122" s="46" t="n"/>
      <c r="L122" s="46" t="n"/>
      <c r="M122" s="46" t="n"/>
    </row>
    <row r="123">
      <c r="A123" t="n">
        <v>120</v>
      </c>
      <c r="B123" t="inlineStr">
        <is>
          <t>산업공학과</t>
        </is>
      </c>
      <c r="C123" t="inlineStr">
        <is>
          <t>전기전자공학과</t>
        </is>
      </c>
      <c r="D123" t="n">
        <v>11</v>
      </c>
      <c r="E123" t="n">
        <v>26</v>
      </c>
      <c r="F123" s="48">
        <f>SUMPRODUCT(('평가'!C11:P11&lt;&gt;"")*('평가'!C26:P26&lt;&gt;""))</f>
        <v/>
      </c>
      <c r="G123" s="48">
        <f>SUMPRODUCT(('평가'!C11:P11&lt;&gt;"")*('평가'!C26:P26&lt;&gt;"")*('평가'!C11:P11='평가'!C26:P26))</f>
        <v/>
      </c>
      <c r="H123" s="49">
        <f>IF(F123=0,"",G123/F123)</f>
        <v/>
      </c>
      <c r="I123" s="46" t="n"/>
      <c r="J123" s="46" t="n"/>
      <c r="K123" s="46" t="n"/>
      <c r="L123" s="46" t="n"/>
      <c r="M123" s="46" t="n"/>
    </row>
    <row r="124">
      <c r="A124" t="n">
        <v>121</v>
      </c>
      <c r="B124" t="inlineStr">
        <is>
          <t>산업공학과</t>
        </is>
      </c>
      <c r="C124" t="inlineStr">
        <is>
          <t>사학과</t>
        </is>
      </c>
      <c r="D124" t="n">
        <v>11</v>
      </c>
      <c r="E124" t="n">
        <v>27</v>
      </c>
      <c r="F124" s="48">
        <f>SUMPRODUCT(('평가'!C11:P11&lt;&gt;"")*('평가'!C27:P27&lt;&gt;""))</f>
        <v/>
      </c>
      <c r="G124" s="48">
        <f>SUMPRODUCT(('평가'!C11:P11&lt;&gt;"")*('평가'!C27:P27&lt;&gt;"")*('평가'!C11:P11='평가'!C27:P27))</f>
        <v/>
      </c>
      <c r="H124" s="49">
        <f>IF(F124=0,"",G124/F124)</f>
        <v/>
      </c>
      <c r="I124" s="46" t="n"/>
      <c r="J124" s="46" t="n"/>
      <c r="K124" s="46" t="n"/>
      <c r="L124" s="46" t="n"/>
      <c r="M124" s="46" t="n"/>
    </row>
    <row r="125">
      <c r="A125" t="n">
        <v>122</v>
      </c>
      <c r="B125" t="inlineStr">
        <is>
          <t>산업공학과</t>
        </is>
      </c>
      <c r="C125" t="inlineStr">
        <is>
          <t>응용통계학과</t>
        </is>
      </c>
      <c r="D125" t="n">
        <v>11</v>
      </c>
      <c r="E125" t="n">
        <v>28</v>
      </c>
      <c r="F125" s="48">
        <f>SUMPRODUCT(('평가'!C11:P11&lt;&gt;"")*('평가'!C28:P28&lt;&gt;""))</f>
        <v/>
      </c>
      <c r="G125" s="48">
        <f>SUMPRODUCT(('평가'!C11:P11&lt;&gt;"")*('평가'!C28:P28&lt;&gt;"")*('평가'!C11:P11='평가'!C28:P28))</f>
        <v/>
      </c>
      <c r="H125" s="49">
        <f>IF(F125=0,"",G125/F125)</f>
        <v/>
      </c>
      <c r="I125" s="46" t="n"/>
      <c r="J125" s="46" t="n"/>
      <c r="K125" s="46" t="n"/>
      <c r="L125" s="46" t="n"/>
      <c r="M125" s="46" t="n"/>
    </row>
    <row r="126">
      <c r="A126" t="n">
        <v>123</v>
      </c>
      <c r="B126" t="inlineStr">
        <is>
          <t>산업공학과</t>
        </is>
      </c>
      <c r="C126" t="inlineStr">
        <is>
          <t>컴퓨터공학과</t>
        </is>
      </c>
      <c r="D126" t="n">
        <v>11</v>
      </c>
      <c r="E126" t="n">
        <v>29</v>
      </c>
      <c r="F126" s="48">
        <f>SUMPRODUCT(('평가'!C11:P11&lt;&gt;"")*('평가'!C29:P29&lt;&gt;""))</f>
        <v/>
      </c>
      <c r="G126" s="48">
        <f>SUMPRODUCT(('평가'!C11:P11&lt;&gt;"")*('평가'!C29:P29&lt;&gt;"")*('평가'!C11:P11='평가'!C29:P29))</f>
        <v/>
      </c>
      <c r="H126" s="49">
        <f>IF(F126=0,"",G126/F126)</f>
        <v/>
      </c>
      <c r="I126" s="46" t="n"/>
      <c r="J126" s="46" t="n"/>
      <c r="K126" s="46" t="n"/>
      <c r="L126" s="46" t="n"/>
      <c r="M126" s="46" t="n"/>
    </row>
    <row r="127">
      <c r="A127" t="n">
        <v>124</v>
      </c>
      <c r="B127" t="inlineStr">
        <is>
          <t>신소재공학과</t>
        </is>
      </c>
      <c r="C127" t="inlineStr">
        <is>
          <t>조선해양공학과</t>
        </is>
      </c>
      <c r="D127" t="n">
        <v>12</v>
      </c>
      <c r="E127" t="n">
        <v>13</v>
      </c>
      <c r="F127" s="48">
        <f>SUMPRODUCT(('평가'!C12:P12&lt;&gt;"")*('평가'!C13:P13&lt;&gt;""))</f>
        <v/>
      </c>
      <c r="G127" s="48">
        <f>SUMPRODUCT(('평가'!C12:P12&lt;&gt;"")*('평가'!C13:P13&lt;&gt;"")*('평가'!C12:P12='평가'!C13:P13))</f>
        <v/>
      </c>
      <c r="H127" s="49">
        <f>IF(F127=0,"",G127/F127)</f>
        <v/>
      </c>
      <c r="I127" s="46" t="n"/>
      <c r="J127" s="46" t="n"/>
      <c r="K127" s="46" t="n"/>
      <c r="L127" s="46" t="n"/>
      <c r="M127" s="46" t="n"/>
    </row>
    <row r="128">
      <c r="A128" t="n">
        <v>125</v>
      </c>
      <c r="B128" t="inlineStr">
        <is>
          <t>신소재공학과</t>
        </is>
      </c>
      <c r="C128" t="inlineStr">
        <is>
          <t>의예과</t>
        </is>
      </c>
      <c r="D128" t="n">
        <v>12</v>
      </c>
      <c r="E128" t="n">
        <v>14</v>
      </c>
      <c r="F128" s="48">
        <f>SUMPRODUCT(('평가'!C12:P12&lt;&gt;"")*('평가'!C14:P14&lt;&gt;""))</f>
        <v/>
      </c>
      <c r="G128" s="48">
        <f>SUMPRODUCT(('평가'!C12:P12&lt;&gt;"")*('평가'!C14:P14&lt;&gt;"")*('평가'!C12:P12='평가'!C14:P14))</f>
        <v/>
      </c>
      <c r="H128" s="49">
        <f>IF(F128=0,"",G128/F128)</f>
        <v/>
      </c>
      <c r="I128" s="46" t="n"/>
      <c r="J128" s="46" t="n"/>
      <c r="K128" s="46" t="n"/>
      <c r="L128" s="46" t="n"/>
      <c r="M128" s="46" t="n"/>
    </row>
    <row r="129">
      <c r="A129" t="n">
        <v>126</v>
      </c>
      <c r="B129" t="inlineStr">
        <is>
          <t>신소재공학과</t>
        </is>
      </c>
      <c r="C129" t="inlineStr">
        <is>
          <t>수학과</t>
        </is>
      </c>
      <c r="D129" t="n">
        <v>12</v>
      </c>
      <c r="E129" t="n">
        <v>15</v>
      </c>
      <c r="F129" s="48">
        <f>SUMPRODUCT(('평가'!C12:P12&lt;&gt;"")*('평가'!C15:P15&lt;&gt;""))</f>
        <v/>
      </c>
      <c r="G129" s="48">
        <f>SUMPRODUCT(('평가'!C12:P12&lt;&gt;"")*('평가'!C15:P15&lt;&gt;"")*('평가'!C12:P12='평가'!C15:P15))</f>
        <v/>
      </c>
      <c r="H129" s="49">
        <f>IF(F129=0,"",G129/F129)</f>
        <v/>
      </c>
      <c r="I129" s="46" t="n"/>
      <c r="J129" s="46" t="n"/>
      <c r="K129" s="46" t="n"/>
      <c r="L129" s="46" t="n"/>
      <c r="M129" s="46" t="n"/>
    </row>
    <row r="130">
      <c r="A130" t="n">
        <v>127</v>
      </c>
      <c r="B130" t="inlineStr">
        <is>
          <t>신소재공학과</t>
        </is>
      </c>
      <c r="C130" t="inlineStr">
        <is>
          <t>경영학과</t>
        </is>
      </c>
      <c r="D130" t="n">
        <v>12</v>
      </c>
      <c r="E130" t="n">
        <v>16</v>
      </c>
      <c r="F130" s="48">
        <f>SUMPRODUCT(('평가'!C12:P12&lt;&gt;"")*('평가'!C16:P16&lt;&gt;""))</f>
        <v/>
      </c>
      <c r="G130" s="48">
        <f>SUMPRODUCT(('평가'!C12:P12&lt;&gt;"")*('평가'!C16:P16&lt;&gt;"")*('평가'!C12:P12='평가'!C16:P16))</f>
        <v/>
      </c>
      <c r="H130" s="49">
        <f>IF(F130=0,"",G130/F130)</f>
        <v/>
      </c>
      <c r="I130" s="46" t="n"/>
      <c r="J130" s="46" t="n"/>
      <c r="K130" s="46" t="n"/>
      <c r="L130" s="46" t="n"/>
      <c r="M130" s="46" t="n"/>
    </row>
    <row r="131">
      <c r="A131" t="n">
        <v>128</v>
      </c>
      <c r="B131" t="inlineStr">
        <is>
          <t>신소재공학과</t>
        </is>
      </c>
      <c r="C131" t="inlineStr">
        <is>
          <t>약학과</t>
        </is>
      </c>
      <c r="D131" t="n">
        <v>12</v>
      </c>
      <c r="E131" t="n">
        <v>17</v>
      </c>
      <c r="F131" s="48">
        <f>SUMPRODUCT(('평가'!C12:P12&lt;&gt;"")*('평가'!C17:P17&lt;&gt;""))</f>
        <v/>
      </c>
      <c r="G131" s="48">
        <f>SUMPRODUCT(('평가'!C12:P12&lt;&gt;"")*('평가'!C17:P17&lt;&gt;"")*('평가'!C12:P12='평가'!C17:P17))</f>
        <v/>
      </c>
      <c r="H131" s="49">
        <f>IF(F131=0,"",G131/F131)</f>
        <v/>
      </c>
      <c r="I131" s="46" t="n"/>
      <c r="J131" s="46" t="n"/>
      <c r="K131" s="46" t="n"/>
      <c r="L131" s="46" t="n"/>
      <c r="M131" s="46" t="n"/>
    </row>
    <row r="132">
      <c r="A132" t="n">
        <v>129</v>
      </c>
      <c r="B132" t="inlineStr">
        <is>
          <t>신소재공학과</t>
        </is>
      </c>
      <c r="C132" t="inlineStr">
        <is>
          <t>사회학과</t>
        </is>
      </c>
      <c r="D132" t="n">
        <v>12</v>
      </c>
      <c r="E132" t="n">
        <v>18</v>
      </c>
      <c r="F132" s="48">
        <f>SUMPRODUCT(('평가'!C12:P12&lt;&gt;"")*('평가'!C18:P18&lt;&gt;""))</f>
        <v/>
      </c>
      <c r="G132" s="48">
        <f>SUMPRODUCT(('평가'!C12:P12&lt;&gt;"")*('평가'!C18:P18&lt;&gt;"")*('평가'!C12:P12='평가'!C18:P18))</f>
        <v/>
      </c>
      <c r="H132" s="49">
        <f>IF(F132=0,"",G132/F132)</f>
        <v/>
      </c>
      <c r="I132" s="46" t="n"/>
      <c r="J132" s="46" t="n"/>
      <c r="K132" s="46" t="n"/>
      <c r="L132" s="46" t="n"/>
      <c r="M132" s="46" t="n"/>
    </row>
    <row r="133">
      <c r="A133" t="n">
        <v>130</v>
      </c>
      <c r="B133" t="inlineStr">
        <is>
          <t>신소재공학과</t>
        </is>
      </c>
      <c r="C133" t="inlineStr">
        <is>
          <t>경제학과</t>
        </is>
      </c>
      <c r="D133" t="n">
        <v>12</v>
      </c>
      <c r="E133" t="n">
        <v>19</v>
      </c>
      <c r="F133" s="48">
        <f>SUMPRODUCT(('평가'!C12:P12&lt;&gt;"")*('평가'!C19:P19&lt;&gt;""))</f>
        <v/>
      </c>
      <c r="G133" s="48">
        <f>SUMPRODUCT(('평가'!C12:P12&lt;&gt;"")*('평가'!C19:P19&lt;&gt;"")*('평가'!C12:P12='평가'!C19:P19))</f>
        <v/>
      </c>
      <c r="H133" s="49">
        <f>IF(F133=0,"",G133/F133)</f>
        <v/>
      </c>
      <c r="I133" s="46" t="n"/>
      <c r="J133" s="46" t="n"/>
      <c r="K133" s="46" t="n"/>
      <c r="L133" s="46" t="n"/>
      <c r="M133" s="46" t="n"/>
    </row>
    <row r="134">
      <c r="A134" t="n">
        <v>131</v>
      </c>
      <c r="B134" t="inlineStr">
        <is>
          <t>신소재공학과</t>
        </is>
      </c>
      <c r="C134" t="inlineStr">
        <is>
          <t>생명과학과</t>
        </is>
      </c>
      <c r="D134" t="n">
        <v>12</v>
      </c>
      <c r="E134" t="n">
        <v>20</v>
      </c>
      <c r="F134" s="48">
        <f>SUMPRODUCT(('평가'!C12:P12&lt;&gt;"")*('평가'!C20:P20&lt;&gt;""))</f>
        <v/>
      </c>
      <c r="G134" s="48">
        <f>SUMPRODUCT(('평가'!C12:P12&lt;&gt;"")*('평가'!C20:P20&lt;&gt;"")*('평가'!C12:P12='평가'!C20:P20))</f>
        <v/>
      </c>
      <c r="H134" s="49">
        <f>IF(F134=0,"",G134/F134)</f>
        <v/>
      </c>
      <c r="I134" s="46" t="n"/>
      <c r="J134" s="46" t="n"/>
      <c r="K134" s="46" t="n"/>
      <c r="L134" s="46" t="n"/>
      <c r="M134" s="46" t="n"/>
    </row>
    <row r="135">
      <c r="A135" t="n">
        <v>132</v>
      </c>
      <c r="B135" t="inlineStr">
        <is>
          <t>신소재공학과</t>
        </is>
      </c>
      <c r="C135" t="inlineStr">
        <is>
          <t>미디어커뮤니케이션학과</t>
        </is>
      </c>
      <c r="D135" t="n">
        <v>12</v>
      </c>
      <c r="E135" t="n">
        <v>21</v>
      </c>
      <c r="F135" s="48">
        <f>SUMPRODUCT(('평가'!C12:P12&lt;&gt;"")*('평가'!C21:P21&lt;&gt;""))</f>
        <v/>
      </c>
      <c r="G135" s="48">
        <f>SUMPRODUCT(('평가'!C12:P12&lt;&gt;"")*('평가'!C21:P21&lt;&gt;"")*('평가'!C12:P12='평가'!C21:P21))</f>
        <v/>
      </c>
      <c r="H135" s="49">
        <f>IF(F135=0,"",G135/F135)</f>
        <v/>
      </c>
      <c r="I135" s="46" t="n"/>
      <c r="J135" s="46" t="n"/>
      <c r="K135" s="46" t="n"/>
      <c r="L135" s="46" t="n"/>
      <c r="M135" s="46" t="n"/>
    </row>
    <row r="136">
      <c r="A136" t="n">
        <v>133</v>
      </c>
      <c r="B136" t="inlineStr">
        <is>
          <t>신소재공학과</t>
        </is>
      </c>
      <c r="C136" t="inlineStr">
        <is>
          <t>화학공학과</t>
        </is>
      </c>
      <c r="D136" t="n">
        <v>12</v>
      </c>
      <c r="E136" t="n">
        <v>22</v>
      </c>
      <c r="F136" s="48">
        <f>SUMPRODUCT(('평가'!C12:P12&lt;&gt;"")*('평가'!C22:P22&lt;&gt;""))</f>
        <v/>
      </c>
      <c r="G136" s="48">
        <f>SUMPRODUCT(('평가'!C12:P12&lt;&gt;"")*('평가'!C22:P22&lt;&gt;"")*('평가'!C12:P12='평가'!C22:P22))</f>
        <v/>
      </c>
      <c r="H136" s="49">
        <f>IF(F136=0,"",G136/F136)</f>
        <v/>
      </c>
      <c r="I136" s="46" t="n"/>
      <c r="J136" s="46" t="n"/>
      <c r="K136" s="46" t="n"/>
      <c r="L136" s="46" t="n"/>
      <c r="M136" s="46" t="n"/>
    </row>
    <row r="137">
      <c r="A137" t="n">
        <v>134</v>
      </c>
      <c r="B137" t="inlineStr">
        <is>
          <t>신소재공학과</t>
        </is>
      </c>
      <c r="C137" t="inlineStr">
        <is>
          <t>디자인학과</t>
        </is>
      </c>
      <c r="D137" t="n">
        <v>12</v>
      </c>
      <c r="E137" t="n">
        <v>23</v>
      </c>
      <c r="F137" s="48">
        <f>SUMPRODUCT(('평가'!C12:P12&lt;&gt;"")*('평가'!C23:P23&lt;&gt;""))</f>
        <v/>
      </c>
      <c r="G137" s="48">
        <f>SUMPRODUCT(('평가'!C12:P12&lt;&gt;"")*('평가'!C23:P23&lt;&gt;"")*('평가'!C12:P12='평가'!C23:P23))</f>
        <v/>
      </c>
      <c r="H137" s="49">
        <f>IF(F137=0,"",G137/F137)</f>
        <v/>
      </c>
      <c r="I137" s="46" t="n"/>
      <c r="J137" s="46" t="n"/>
      <c r="K137" s="46" t="n"/>
      <c r="L137" s="46" t="n"/>
      <c r="M137" s="46" t="n"/>
    </row>
    <row r="138">
      <c r="A138" t="n">
        <v>135</v>
      </c>
      <c r="B138" t="inlineStr">
        <is>
          <t>신소재공학과</t>
        </is>
      </c>
      <c r="C138" t="inlineStr">
        <is>
          <t>식품영양학과</t>
        </is>
      </c>
      <c r="D138" t="n">
        <v>12</v>
      </c>
      <c r="E138" t="n">
        <v>24</v>
      </c>
      <c r="F138" s="48">
        <f>SUMPRODUCT(('평가'!C12:P12&lt;&gt;"")*('평가'!C24:P24&lt;&gt;""))</f>
        <v/>
      </c>
      <c r="G138" s="48">
        <f>SUMPRODUCT(('평가'!C12:P12&lt;&gt;"")*('평가'!C24:P24&lt;&gt;"")*('평가'!C12:P12='평가'!C24:P24))</f>
        <v/>
      </c>
      <c r="H138" s="49">
        <f>IF(F138=0,"",G138/F138)</f>
        <v/>
      </c>
      <c r="I138" s="46" t="n"/>
      <c r="J138" s="46" t="n"/>
      <c r="K138" s="46" t="n"/>
      <c r="L138" s="46" t="n"/>
      <c r="M138" s="46" t="n"/>
    </row>
    <row r="139">
      <c r="A139" t="n">
        <v>136</v>
      </c>
      <c r="B139" t="inlineStr">
        <is>
          <t>신소재공학과</t>
        </is>
      </c>
      <c r="C139" t="inlineStr">
        <is>
          <t>간호학과</t>
        </is>
      </c>
      <c r="D139" t="n">
        <v>12</v>
      </c>
      <c r="E139" t="n">
        <v>25</v>
      </c>
      <c r="F139" s="48">
        <f>SUMPRODUCT(('평가'!C12:P12&lt;&gt;"")*('평가'!C25:P25&lt;&gt;""))</f>
        <v/>
      </c>
      <c r="G139" s="48">
        <f>SUMPRODUCT(('평가'!C12:P12&lt;&gt;"")*('평가'!C25:P25&lt;&gt;"")*('평가'!C12:P12='평가'!C25:P25))</f>
        <v/>
      </c>
      <c r="H139" s="49">
        <f>IF(F139=0,"",G139/F139)</f>
        <v/>
      </c>
      <c r="I139" s="46" t="n"/>
      <c r="J139" s="46" t="n"/>
      <c r="K139" s="46" t="n"/>
      <c r="L139" s="46" t="n"/>
      <c r="M139" s="46" t="n"/>
    </row>
    <row r="140">
      <c r="A140" t="n">
        <v>137</v>
      </c>
      <c r="B140" t="inlineStr">
        <is>
          <t>신소재공학과</t>
        </is>
      </c>
      <c r="C140" t="inlineStr">
        <is>
          <t>전기전자공학과</t>
        </is>
      </c>
      <c r="D140" t="n">
        <v>12</v>
      </c>
      <c r="E140" t="n">
        <v>26</v>
      </c>
      <c r="F140" s="48">
        <f>SUMPRODUCT(('평가'!C12:P12&lt;&gt;"")*('평가'!C26:P26&lt;&gt;""))</f>
        <v/>
      </c>
      <c r="G140" s="48">
        <f>SUMPRODUCT(('평가'!C12:P12&lt;&gt;"")*('평가'!C26:P26&lt;&gt;"")*('평가'!C12:P12='평가'!C26:P26))</f>
        <v/>
      </c>
      <c r="H140" s="49">
        <f>IF(F140=0,"",G140/F140)</f>
        <v/>
      </c>
      <c r="I140" s="46" t="n"/>
      <c r="J140" s="46" t="n"/>
      <c r="K140" s="46" t="n"/>
      <c r="L140" s="46" t="n"/>
      <c r="M140" s="46" t="n"/>
    </row>
    <row r="141">
      <c r="A141" t="n">
        <v>138</v>
      </c>
      <c r="B141" t="inlineStr">
        <is>
          <t>신소재공학과</t>
        </is>
      </c>
      <c r="C141" t="inlineStr">
        <is>
          <t>사학과</t>
        </is>
      </c>
      <c r="D141" t="n">
        <v>12</v>
      </c>
      <c r="E141" t="n">
        <v>27</v>
      </c>
      <c r="F141" s="48">
        <f>SUMPRODUCT(('평가'!C12:P12&lt;&gt;"")*('평가'!C27:P27&lt;&gt;""))</f>
        <v/>
      </c>
      <c r="G141" s="48">
        <f>SUMPRODUCT(('평가'!C12:P12&lt;&gt;"")*('평가'!C27:P27&lt;&gt;"")*('평가'!C12:P12='평가'!C27:P27))</f>
        <v/>
      </c>
      <c r="H141" s="49">
        <f>IF(F141=0,"",G141/F141)</f>
        <v/>
      </c>
      <c r="I141" s="46" t="n"/>
      <c r="J141" s="46" t="n"/>
      <c r="K141" s="46" t="n"/>
      <c r="L141" s="46" t="n"/>
      <c r="M141" s="46" t="n"/>
    </row>
    <row r="142">
      <c r="A142" t="n">
        <v>139</v>
      </c>
      <c r="B142" t="inlineStr">
        <is>
          <t>신소재공학과</t>
        </is>
      </c>
      <c r="C142" t="inlineStr">
        <is>
          <t>응용통계학과</t>
        </is>
      </c>
      <c r="D142" t="n">
        <v>12</v>
      </c>
      <c r="E142" t="n">
        <v>28</v>
      </c>
      <c r="F142" s="48">
        <f>SUMPRODUCT(('평가'!C12:P12&lt;&gt;"")*('평가'!C28:P28&lt;&gt;""))</f>
        <v/>
      </c>
      <c r="G142" s="48">
        <f>SUMPRODUCT(('평가'!C12:P12&lt;&gt;"")*('평가'!C28:P28&lt;&gt;"")*('평가'!C12:P12='평가'!C28:P28))</f>
        <v/>
      </c>
      <c r="H142" s="49">
        <f>IF(F142=0,"",G142/F142)</f>
        <v/>
      </c>
      <c r="I142" s="46" t="n"/>
      <c r="J142" s="46" t="n"/>
      <c r="K142" s="46" t="n"/>
      <c r="L142" s="46" t="n"/>
      <c r="M142" s="46" t="n"/>
    </row>
    <row r="143">
      <c r="A143" t="n">
        <v>140</v>
      </c>
      <c r="B143" t="inlineStr">
        <is>
          <t>신소재공학과</t>
        </is>
      </c>
      <c r="C143" t="inlineStr">
        <is>
          <t>컴퓨터공학과</t>
        </is>
      </c>
      <c r="D143" t="n">
        <v>12</v>
      </c>
      <c r="E143" t="n">
        <v>29</v>
      </c>
      <c r="F143" s="48">
        <f>SUMPRODUCT(('평가'!C12:P12&lt;&gt;"")*('평가'!C29:P29&lt;&gt;""))</f>
        <v/>
      </c>
      <c r="G143" s="48">
        <f>SUMPRODUCT(('평가'!C12:P12&lt;&gt;"")*('평가'!C29:P29&lt;&gt;"")*('평가'!C12:P12='평가'!C29:P29))</f>
        <v/>
      </c>
      <c r="H143" s="49">
        <f>IF(F143=0,"",G143/F143)</f>
        <v/>
      </c>
      <c r="I143" s="46" t="n"/>
      <c r="J143" s="46" t="n"/>
      <c r="K143" s="46" t="n"/>
      <c r="L143" s="46" t="n"/>
      <c r="M143" s="46" t="n"/>
    </row>
    <row r="144">
      <c r="A144" t="n">
        <v>141</v>
      </c>
      <c r="B144" t="inlineStr">
        <is>
          <t>조선해양공학과</t>
        </is>
      </c>
      <c r="C144" t="inlineStr">
        <is>
          <t>의예과</t>
        </is>
      </c>
      <c r="D144" t="n">
        <v>13</v>
      </c>
      <c r="E144" t="n">
        <v>14</v>
      </c>
      <c r="F144" s="48">
        <f>SUMPRODUCT(('평가'!C13:P13&lt;&gt;"")*('평가'!C14:P14&lt;&gt;""))</f>
        <v/>
      </c>
      <c r="G144" s="48">
        <f>SUMPRODUCT(('평가'!C13:P13&lt;&gt;"")*('평가'!C14:P14&lt;&gt;"")*('평가'!C13:P13='평가'!C14:P14))</f>
        <v/>
      </c>
      <c r="H144" s="49">
        <f>IF(F144=0,"",G144/F144)</f>
        <v/>
      </c>
      <c r="I144" s="46" t="n"/>
      <c r="J144" s="46" t="n"/>
      <c r="K144" s="46" t="n"/>
      <c r="L144" s="46" t="n"/>
      <c r="M144" s="46" t="n"/>
    </row>
    <row r="145">
      <c r="A145" t="n">
        <v>142</v>
      </c>
      <c r="B145" t="inlineStr">
        <is>
          <t>조선해양공학과</t>
        </is>
      </c>
      <c r="C145" t="inlineStr">
        <is>
          <t>수학과</t>
        </is>
      </c>
      <c r="D145" t="n">
        <v>13</v>
      </c>
      <c r="E145" t="n">
        <v>15</v>
      </c>
      <c r="F145" s="48">
        <f>SUMPRODUCT(('평가'!C13:P13&lt;&gt;"")*('평가'!C15:P15&lt;&gt;""))</f>
        <v/>
      </c>
      <c r="G145" s="48">
        <f>SUMPRODUCT(('평가'!C13:P13&lt;&gt;"")*('평가'!C15:P15&lt;&gt;"")*('평가'!C13:P13='평가'!C15:P15))</f>
        <v/>
      </c>
      <c r="H145" s="49">
        <f>IF(F145=0,"",G145/F145)</f>
        <v/>
      </c>
      <c r="I145" s="46" t="n"/>
      <c r="J145" s="46" t="n"/>
      <c r="K145" s="46" t="n"/>
      <c r="L145" s="46" t="n"/>
      <c r="M145" s="46" t="n"/>
    </row>
    <row r="146">
      <c r="A146" t="n">
        <v>143</v>
      </c>
      <c r="B146" t="inlineStr">
        <is>
          <t>조선해양공학과</t>
        </is>
      </c>
      <c r="C146" t="inlineStr">
        <is>
          <t>경영학과</t>
        </is>
      </c>
      <c r="D146" t="n">
        <v>13</v>
      </c>
      <c r="E146" t="n">
        <v>16</v>
      </c>
      <c r="F146" s="48">
        <f>SUMPRODUCT(('평가'!C13:P13&lt;&gt;"")*('평가'!C16:P16&lt;&gt;""))</f>
        <v/>
      </c>
      <c r="G146" s="48">
        <f>SUMPRODUCT(('평가'!C13:P13&lt;&gt;"")*('평가'!C16:P16&lt;&gt;"")*('평가'!C13:P13='평가'!C16:P16))</f>
        <v/>
      </c>
      <c r="H146" s="49">
        <f>IF(F146=0,"",G146/F146)</f>
        <v/>
      </c>
      <c r="I146" s="46" t="n"/>
      <c r="J146" s="46" t="n"/>
      <c r="K146" s="46" t="n"/>
      <c r="L146" s="46" t="n"/>
      <c r="M146" s="46" t="n"/>
    </row>
    <row r="147">
      <c r="A147" t="n">
        <v>144</v>
      </c>
      <c r="B147" t="inlineStr">
        <is>
          <t>조선해양공학과</t>
        </is>
      </c>
      <c r="C147" t="inlineStr">
        <is>
          <t>약학과</t>
        </is>
      </c>
      <c r="D147" t="n">
        <v>13</v>
      </c>
      <c r="E147" t="n">
        <v>17</v>
      </c>
      <c r="F147" s="48">
        <f>SUMPRODUCT(('평가'!C13:P13&lt;&gt;"")*('평가'!C17:P17&lt;&gt;""))</f>
        <v/>
      </c>
      <c r="G147" s="48">
        <f>SUMPRODUCT(('평가'!C13:P13&lt;&gt;"")*('평가'!C17:P17&lt;&gt;"")*('평가'!C13:P13='평가'!C17:P17))</f>
        <v/>
      </c>
      <c r="H147" s="49">
        <f>IF(F147=0,"",G147/F147)</f>
        <v/>
      </c>
      <c r="I147" s="46" t="n"/>
      <c r="J147" s="46" t="n"/>
      <c r="K147" s="46" t="n"/>
      <c r="L147" s="46" t="n"/>
      <c r="M147" s="46" t="n"/>
    </row>
    <row r="148">
      <c r="A148" t="n">
        <v>145</v>
      </c>
      <c r="B148" t="inlineStr">
        <is>
          <t>조선해양공학과</t>
        </is>
      </c>
      <c r="C148" t="inlineStr">
        <is>
          <t>사회학과</t>
        </is>
      </c>
      <c r="D148" t="n">
        <v>13</v>
      </c>
      <c r="E148" t="n">
        <v>18</v>
      </c>
      <c r="F148" s="48">
        <f>SUMPRODUCT(('평가'!C13:P13&lt;&gt;"")*('평가'!C18:P18&lt;&gt;""))</f>
        <v/>
      </c>
      <c r="G148" s="48">
        <f>SUMPRODUCT(('평가'!C13:P13&lt;&gt;"")*('평가'!C18:P18&lt;&gt;"")*('평가'!C13:P13='평가'!C18:P18))</f>
        <v/>
      </c>
      <c r="H148" s="49">
        <f>IF(F148=0,"",G148/F148)</f>
        <v/>
      </c>
      <c r="I148" s="46" t="n"/>
      <c r="J148" s="46" t="n"/>
      <c r="K148" s="46" t="n"/>
      <c r="L148" s="46" t="n"/>
      <c r="M148" s="46" t="n"/>
    </row>
    <row r="149">
      <c r="A149" t="n">
        <v>146</v>
      </c>
      <c r="B149" t="inlineStr">
        <is>
          <t>조선해양공학과</t>
        </is>
      </c>
      <c r="C149" t="inlineStr">
        <is>
          <t>경제학과</t>
        </is>
      </c>
      <c r="D149" t="n">
        <v>13</v>
      </c>
      <c r="E149" t="n">
        <v>19</v>
      </c>
      <c r="F149" s="48">
        <f>SUMPRODUCT(('평가'!C13:P13&lt;&gt;"")*('평가'!C19:P19&lt;&gt;""))</f>
        <v/>
      </c>
      <c r="G149" s="48">
        <f>SUMPRODUCT(('평가'!C13:P13&lt;&gt;"")*('평가'!C19:P19&lt;&gt;"")*('평가'!C13:P13='평가'!C19:P19))</f>
        <v/>
      </c>
      <c r="H149" s="49">
        <f>IF(F149=0,"",G149/F149)</f>
        <v/>
      </c>
      <c r="I149" s="46" t="n"/>
      <c r="J149" s="46" t="n"/>
      <c r="K149" s="46" t="n"/>
      <c r="L149" s="46" t="n"/>
      <c r="M149" s="46" t="n"/>
    </row>
    <row r="150">
      <c r="A150" t="n">
        <v>147</v>
      </c>
      <c r="B150" t="inlineStr">
        <is>
          <t>조선해양공학과</t>
        </is>
      </c>
      <c r="C150" t="inlineStr">
        <is>
          <t>생명과학과</t>
        </is>
      </c>
      <c r="D150" t="n">
        <v>13</v>
      </c>
      <c r="E150" t="n">
        <v>20</v>
      </c>
      <c r="F150" s="48">
        <f>SUMPRODUCT(('평가'!C13:P13&lt;&gt;"")*('평가'!C20:P20&lt;&gt;""))</f>
        <v/>
      </c>
      <c r="G150" s="48">
        <f>SUMPRODUCT(('평가'!C13:P13&lt;&gt;"")*('평가'!C20:P20&lt;&gt;"")*('평가'!C13:P13='평가'!C20:P20))</f>
        <v/>
      </c>
      <c r="H150" s="49">
        <f>IF(F150=0,"",G150/F150)</f>
        <v/>
      </c>
      <c r="I150" s="46" t="n"/>
      <c r="J150" s="46" t="n"/>
      <c r="K150" s="46" t="n"/>
      <c r="L150" s="46" t="n"/>
      <c r="M150" s="46" t="n"/>
    </row>
    <row r="151">
      <c r="A151" t="n">
        <v>148</v>
      </c>
      <c r="B151" t="inlineStr">
        <is>
          <t>조선해양공학과</t>
        </is>
      </c>
      <c r="C151" t="inlineStr">
        <is>
          <t>미디어커뮤니케이션학과</t>
        </is>
      </c>
      <c r="D151" t="n">
        <v>13</v>
      </c>
      <c r="E151" t="n">
        <v>21</v>
      </c>
      <c r="F151" s="48">
        <f>SUMPRODUCT(('평가'!C13:P13&lt;&gt;"")*('평가'!C21:P21&lt;&gt;""))</f>
        <v/>
      </c>
      <c r="G151" s="48">
        <f>SUMPRODUCT(('평가'!C13:P13&lt;&gt;"")*('평가'!C21:P21&lt;&gt;"")*('평가'!C13:P13='평가'!C21:P21))</f>
        <v/>
      </c>
      <c r="H151" s="49">
        <f>IF(F151=0,"",G151/F151)</f>
        <v/>
      </c>
      <c r="I151" s="46" t="n"/>
      <c r="J151" s="46" t="n"/>
      <c r="K151" s="46" t="n"/>
      <c r="L151" s="46" t="n"/>
      <c r="M151" s="46" t="n"/>
    </row>
    <row r="152">
      <c r="A152" t="n">
        <v>149</v>
      </c>
      <c r="B152" t="inlineStr">
        <is>
          <t>조선해양공학과</t>
        </is>
      </c>
      <c r="C152" t="inlineStr">
        <is>
          <t>화학공학과</t>
        </is>
      </c>
      <c r="D152" t="n">
        <v>13</v>
      </c>
      <c r="E152" t="n">
        <v>22</v>
      </c>
      <c r="F152" s="48">
        <f>SUMPRODUCT(('평가'!C13:P13&lt;&gt;"")*('평가'!C22:P22&lt;&gt;""))</f>
        <v/>
      </c>
      <c r="G152" s="48">
        <f>SUMPRODUCT(('평가'!C13:P13&lt;&gt;"")*('평가'!C22:P22&lt;&gt;"")*('평가'!C13:P13='평가'!C22:P22))</f>
        <v/>
      </c>
      <c r="H152" s="49">
        <f>IF(F152=0,"",G152/F152)</f>
        <v/>
      </c>
      <c r="I152" s="46" t="n"/>
      <c r="J152" s="46" t="n"/>
      <c r="K152" s="46" t="n"/>
      <c r="L152" s="46" t="n"/>
      <c r="M152" s="46" t="n"/>
    </row>
    <row r="153">
      <c r="A153" t="n">
        <v>150</v>
      </c>
      <c r="B153" t="inlineStr">
        <is>
          <t>조선해양공학과</t>
        </is>
      </c>
      <c r="C153" t="inlineStr">
        <is>
          <t>디자인학과</t>
        </is>
      </c>
      <c r="D153" t="n">
        <v>13</v>
      </c>
      <c r="E153" t="n">
        <v>23</v>
      </c>
      <c r="F153" s="48">
        <f>SUMPRODUCT(('평가'!C13:P13&lt;&gt;"")*('평가'!C23:P23&lt;&gt;""))</f>
        <v/>
      </c>
      <c r="G153" s="48">
        <f>SUMPRODUCT(('평가'!C13:P13&lt;&gt;"")*('평가'!C23:P23&lt;&gt;"")*('평가'!C13:P13='평가'!C23:P23))</f>
        <v/>
      </c>
      <c r="H153" s="49">
        <f>IF(F153=0,"",G153/F153)</f>
        <v/>
      </c>
      <c r="I153" s="46" t="n"/>
      <c r="J153" s="46" t="n"/>
      <c r="K153" s="46" t="n"/>
      <c r="L153" s="46" t="n"/>
      <c r="M153" s="46" t="n"/>
    </row>
    <row r="154">
      <c r="A154" t="n">
        <v>151</v>
      </c>
      <c r="B154" t="inlineStr">
        <is>
          <t>조선해양공학과</t>
        </is>
      </c>
      <c r="C154" t="inlineStr">
        <is>
          <t>식품영양학과</t>
        </is>
      </c>
      <c r="D154" t="n">
        <v>13</v>
      </c>
      <c r="E154" t="n">
        <v>24</v>
      </c>
      <c r="F154" s="48">
        <f>SUMPRODUCT(('평가'!C13:P13&lt;&gt;"")*('평가'!C24:P24&lt;&gt;""))</f>
        <v/>
      </c>
      <c r="G154" s="48">
        <f>SUMPRODUCT(('평가'!C13:P13&lt;&gt;"")*('평가'!C24:P24&lt;&gt;"")*('평가'!C13:P13='평가'!C24:P24))</f>
        <v/>
      </c>
      <c r="H154" s="49">
        <f>IF(F154=0,"",G154/F154)</f>
        <v/>
      </c>
      <c r="I154" s="46" t="n"/>
      <c r="J154" s="46" t="n"/>
      <c r="K154" s="46" t="n"/>
      <c r="L154" s="46" t="n"/>
      <c r="M154" s="46" t="n"/>
    </row>
    <row r="155">
      <c r="A155" t="n">
        <v>152</v>
      </c>
      <c r="B155" t="inlineStr">
        <is>
          <t>조선해양공학과</t>
        </is>
      </c>
      <c r="C155" t="inlineStr">
        <is>
          <t>간호학과</t>
        </is>
      </c>
      <c r="D155" t="n">
        <v>13</v>
      </c>
      <c r="E155" t="n">
        <v>25</v>
      </c>
      <c r="F155" s="48">
        <f>SUMPRODUCT(('평가'!C13:P13&lt;&gt;"")*('평가'!C25:P25&lt;&gt;""))</f>
        <v/>
      </c>
      <c r="G155" s="48">
        <f>SUMPRODUCT(('평가'!C13:P13&lt;&gt;"")*('평가'!C25:P25&lt;&gt;"")*('평가'!C13:P13='평가'!C25:P25))</f>
        <v/>
      </c>
      <c r="H155" s="49">
        <f>IF(F155=0,"",G155/F155)</f>
        <v/>
      </c>
      <c r="I155" s="46" t="n"/>
      <c r="J155" s="46" t="n"/>
      <c r="K155" s="46" t="n"/>
      <c r="L155" s="46" t="n"/>
      <c r="M155" s="46" t="n"/>
    </row>
    <row r="156">
      <c r="A156" t="n">
        <v>153</v>
      </c>
      <c r="B156" t="inlineStr">
        <is>
          <t>조선해양공학과</t>
        </is>
      </c>
      <c r="C156" t="inlineStr">
        <is>
          <t>전기전자공학과</t>
        </is>
      </c>
      <c r="D156" t="n">
        <v>13</v>
      </c>
      <c r="E156" t="n">
        <v>26</v>
      </c>
      <c r="F156" s="48">
        <f>SUMPRODUCT(('평가'!C13:P13&lt;&gt;"")*('평가'!C26:P26&lt;&gt;""))</f>
        <v/>
      </c>
      <c r="G156" s="48">
        <f>SUMPRODUCT(('평가'!C13:P13&lt;&gt;"")*('평가'!C26:P26&lt;&gt;"")*('평가'!C13:P13='평가'!C26:P26))</f>
        <v/>
      </c>
      <c r="H156" s="49">
        <f>IF(F156=0,"",G156/F156)</f>
        <v/>
      </c>
      <c r="I156" s="46" t="n"/>
      <c r="J156" s="46" t="n"/>
      <c r="K156" s="46" t="n"/>
      <c r="L156" s="46" t="n"/>
      <c r="M156" s="46" t="n"/>
    </row>
    <row r="157">
      <c r="A157" t="n">
        <v>154</v>
      </c>
      <c r="B157" t="inlineStr">
        <is>
          <t>조선해양공학과</t>
        </is>
      </c>
      <c r="C157" t="inlineStr">
        <is>
          <t>사학과</t>
        </is>
      </c>
      <c r="D157" t="n">
        <v>13</v>
      </c>
      <c r="E157" t="n">
        <v>27</v>
      </c>
      <c r="F157" s="48">
        <f>SUMPRODUCT(('평가'!C13:P13&lt;&gt;"")*('평가'!C27:P27&lt;&gt;""))</f>
        <v/>
      </c>
      <c r="G157" s="48">
        <f>SUMPRODUCT(('평가'!C13:P13&lt;&gt;"")*('평가'!C27:P27&lt;&gt;"")*('평가'!C13:P13='평가'!C27:P27))</f>
        <v/>
      </c>
      <c r="H157" s="49">
        <f>IF(F157=0,"",G157/F157)</f>
        <v/>
      </c>
      <c r="I157" s="46" t="n"/>
      <c r="J157" s="46" t="n"/>
      <c r="K157" s="46" t="n"/>
      <c r="L157" s="46" t="n"/>
      <c r="M157" s="46" t="n"/>
    </row>
    <row r="158">
      <c r="A158" t="n">
        <v>155</v>
      </c>
      <c r="B158" t="inlineStr">
        <is>
          <t>조선해양공학과</t>
        </is>
      </c>
      <c r="C158" t="inlineStr">
        <is>
          <t>응용통계학과</t>
        </is>
      </c>
      <c r="D158" t="n">
        <v>13</v>
      </c>
      <c r="E158" t="n">
        <v>28</v>
      </c>
      <c r="F158" s="48">
        <f>SUMPRODUCT(('평가'!C13:P13&lt;&gt;"")*('평가'!C28:P28&lt;&gt;""))</f>
        <v/>
      </c>
      <c r="G158" s="48">
        <f>SUMPRODUCT(('평가'!C13:P13&lt;&gt;"")*('평가'!C28:P28&lt;&gt;"")*('평가'!C13:P13='평가'!C28:P28))</f>
        <v/>
      </c>
      <c r="H158" s="49">
        <f>IF(F158=0,"",G158/F158)</f>
        <v/>
      </c>
      <c r="I158" s="46" t="n"/>
      <c r="J158" s="46" t="n"/>
      <c r="K158" s="46" t="n"/>
      <c r="L158" s="46" t="n"/>
      <c r="M158" s="46" t="n"/>
    </row>
    <row r="159">
      <c r="A159" t="n">
        <v>156</v>
      </c>
      <c r="B159" t="inlineStr">
        <is>
          <t>조선해양공학과</t>
        </is>
      </c>
      <c r="C159" t="inlineStr">
        <is>
          <t>컴퓨터공학과</t>
        </is>
      </c>
      <c r="D159" t="n">
        <v>13</v>
      </c>
      <c r="E159" t="n">
        <v>29</v>
      </c>
      <c r="F159" s="48">
        <f>SUMPRODUCT(('평가'!C13:P13&lt;&gt;"")*('평가'!C29:P29&lt;&gt;""))</f>
        <v/>
      </c>
      <c r="G159" s="48">
        <f>SUMPRODUCT(('평가'!C13:P13&lt;&gt;"")*('평가'!C29:P29&lt;&gt;"")*('평가'!C13:P13='평가'!C29:P29))</f>
        <v/>
      </c>
      <c r="H159" s="49">
        <f>IF(F159=0,"",G159/F159)</f>
        <v/>
      </c>
      <c r="I159" s="46" t="n"/>
      <c r="J159" s="46" t="n"/>
      <c r="K159" s="46" t="n"/>
      <c r="L159" s="46" t="n"/>
      <c r="M159" s="46" t="n"/>
    </row>
    <row r="160">
      <c r="A160" t="n">
        <v>157</v>
      </c>
      <c r="B160" t="inlineStr">
        <is>
          <t>의예과</t>
        </is>
      </c>
      <c r="C160" t="inlineStr">
        <is>
          <t>수학과</t>
        </is>
      </c>
      <c r="D160" t="n">
        <v>14</v>
      </c>
      <c r="E160" t="n">
        <v>15</v>
      </c>
      <c r="F160" s="48">
        <f>SUMPRODUCT(('평가'!C14:P14&lt;&gt;"")*('평가'!C15:P15&lt;&gt;""))</f>
        <v/>
      </c>
      <c r="G160" s="48">
        <f>SUMPRODUCT(('평가'!C14:P14&lt;&gt;"")*('평가'!C15:P15&lt;&gt;"")*('평가'!C14:P14='평가'!C15:P15))</f>
        <v/>
      </c>
      <c r="H160" s="49">
        <f>IF(F160=0,"",G160/F160)</f>
        <v/>
      </c>
      <c r="I160" s="46" t="n"/>
      <c r="J160" s="46" t="n"/>
      <c r="K160" s="46" t="n"/>
      <c r="L160" s="46" t="n"/>
      <c r="M160" s="46" t="n"/>
    </row>
    <row r="161">
      <c r="A161" t="n">
        <v>158</v>
      </c>
      <c r="B161" t="inlineStr">
        <is>
          <t>의예과</t>
        </is>
      </c>
      <c r="C161" t="inlineStr">
        <is>
          <t>경영학과</t>
        </is>
      </c>
      <c r="D161" t="n">
        <v>14</v>
      </c>
      <c r="E161" t="n">
        <v>16</v>
      </c>
      <c r="F161" s="48">
        <f>SUMPRODUCT(('평가'!C14:P14&lt;&gt;"")*('평가'!C16:P16&lt;&gt;""))</f>
        <v/>
      </c>
      <c r="G161" s="48">
        <f>SUMPRODUCT(('평가'!C14:P14&lt;&gt;"")*('평가'!C16:P16&lt;&gt;"")*('평가'!C14:P14='평가'!C16:P16))</f>
        <v/>
      </c>
      <c r="H161" s="49">
        <f>IF(F161=0,"",G161/F161)</f>
        <v/>
      </c>
      <c r="I161" s="46" t="n"/>
      <c r="J161" s="46" t="n"/>
      <c r="K161" s="46" t="n"/>
      <c r="L161" s="46" t="n"/>
      <c r="M161" s="46" t="n"/>
    </row>
    <row r="162">
      <c r="A162" t="n">
        <v>159</v>
      </c>
      <c r="B162" t="inlineStr">
        <is>
          <t>의예과</t>
        </is>
      </c>
      <c r="C162" t="inlineStr">
        <is>
          <t>약학과</t>
        </is>
      </c>
      <c r="D162" t="n">
        <v>14</v>
      </c>
      <c r="E162" t="n">
        <v>17</v>
      </c>
      <c r="F162" s="48">
        <f>SUMPRODUCT(('평가'!C14:P14&lt;&gt;"")*('평가'!C17:P17&lt;&gt;""))</f>
        <v/>
      </c>
      <c r="G162" s="48">
        <f>SUMPRODUCT(('평가'!C14:P14&lt;&gt;"")*('평가'!C17:P17&lt;&gt;"")*('평가'!C14:P14='평가'!C17:P17))</f>
        <v/>
      </c>
      <c r="H162" s="49">
        <f>IF(F162=0,"",G162/F162)</f>
        <v/>
      </c>
      <c r="I162" s="46" t="n"/>
      <c r="J162" s="46" t="n"/>
      <c r="K162" s="46" t="n"/>
      <c r="L162" s="46" t="n"/>
      <c r="M162" s="46" t="n"/>
    </row>
    <row r="163">
      <c r="A163" t="n">
        <v>160</v>
      </c>
      <c r="B163" t="inlineStr">
        <is>
          <t>의예과</t>
        </is>
      </c>
      <c r="C163" t="inlineStr">
        <is>
          <t>사회학과</t>
        </is>
      </c>
      <c r="D163" t="n">
        <v>14</v>
      </c>
      <c r="E163" t="n">
        <v>18</v>
      </c>
      <c r="F163" s="48">
        <f>SUMPRODUCT(('평가'!C14:P14&lt;&gt;"")*('평가'!C18:P18&lt;&gt;""))</f>
        <v/>
      </c>
      <c r="G163" s="48">
        <f>SUMPRODUCT(('평가'!C14:P14&lt;&gt;"")*('평가'!C18:P18&lt;&gt;"")*('평가'!C14:P14='평가'!C18:P18))</f>
        <v/>
      </c>
      <c r="H163" s="49">
        <f>IF(F163=0,"",G163/F163)</f>
        <v/>
      </c>
      <c r="I163" s="46" t="n"/>
      <c r="J163" s="46" t="n"/>
      <c r="K163" s="46" t="n"/>
      <c r="L163" s="46" t="n"/>
      <c r="M163" s="46" t="n"/>
    </row>
    <row r="164">
      <c r="A164" t="n">
        <v>161</v>
      </c>
      <c r="B164" t="inlineStr">
        <is>
          <t>의예과</t>
        </is>
      </c>
      <c r="C164" t="inlineStr">
        <is>
          <t>경제학과</t>
        </is>
      </c>
      <c r="D164" t="n">
        <v>14</v>
      </c>
      <c r="E164" t="n">
        <v>19</v>
      </c>
      <c r="F164" s="48">
        <f>SUMPRODUCT(('평가'!C14:P14&lt;&gt;"")*('평가'!C19:P19&lt;&gt;""))</f>
        <v/>
      </c>
      <c r="G164" s="48">
        <f>SUMPRODUCT(('평가'!C14:P14&lt;&gt;"")*('평가'!C19:P19&lt;&gt;"")*('평가'!C14:P14='평가'!C19:P19))</f>
        <v/>
      </c>
      <c r="H164" s="49">
        <f>IF(F164=0,"",G164/F164)</f>
        <v/>
      </c>
      <c r="I164" s="46" t="n"/>
      <c r="J164" s="46" t="n"/>
      <c r="K164" s="46" t="n"/>
      <c r="L164" s="46" t="n"/>
      <c r="M164" s="46" t="n"/>
    </row>
    <row r="165">
      <c r="A165" t="n">
        <v>162</v>
      </c>
      <c r="B165" t="inlineStr">
        <is>
          <t>의예과</t>
        </is>
      </c>
      <c r="C165" t="inlineStr">
        <is>
          <t>생명과학과</t>
        </is>
      </c>
      <c r="D165" t="n">
        <v>14</v>
      </c>
      <c r="E165" t="n">
        <v>20</v>
      </c>
      <c r="F165" s="48">
        <f>SUMPRODUCT(('평가'!C14:P14&lt;&gt;"")*('평가'!C20:P20&lt;&gt;""))</f>
        <v/>
      </c>
      <c r="G165" s="48">
        <f>SUMPRODUCT(('평가'!C14:P14&lt;&gt;"")*('평가'!C20:P20&lt;&gt;"")*('평가'!C14:P14='평가'!C20:P20))</f>
        <v/>
      </c>
      <c r="H165" s="49">
        <f>IF(F165=0,"",G165/F165)</f>
        <v/>
      </c>
      <c r="I165" s="46" t="n"/>
      <c r="J165" s="46" t="n"/>
      <c r="K165" s="46" t="n"/>
      <c r="L165" s="46" t="n"/>
      <c r="M165" s="46" t="n"/>
    </row>
    <row r="166">
      <c r="A166" t="n">
        <v>163</v>
      </c>
      <c r="B166" t="inlineStr">
        <is>
          <t>의예과</t>
        </is>
      </c>
      <c r="C166" t="inlineStr">
        <is>
          <t>미디어커뮤니케이션학과</t>
        </is>
      </c>
      <c r="D166" t="n">
        <v>14</v>
      </c>
      <c r="E166" t="n">
        <v>21</v>
      </c>
      <c r="F166" s="48">
        <f>SUMPRODUCT(('평가'!C14:P14&lt;&gt;"")*('평가'!C21:P21&lt;&gt;""))</f>
        <v/>
      </c>
      <c r="G166" s="48">
        <f>SUMPRODUCT(('평가'!C14:P14&lt;&gt;"")*('평가'!C21:P21&lt;&gt;"")*('평가'!C14:P14='평가'!C21:P21))</f>
        <v/>
      </c>
      <c r="H166" s="49">
        <f>IF(F166=0,"",G166/F166)</f>
        <v/>
      </c>
      <c r="I166" s="46" t="n"/>
      <c r="J166" s="46" t="n"/>
      <c r="K166" s="46" t="n"/>
      <c r="L166" s="46" t="n"/>
      <c r="M166" s="46" t="n"/>
    </row>
    <row r="167">
      <c r="A167" t="n">
        <v>164</v>
      </c>
      <c r="B167" t="inlineStr">
        <is>
          <t>의예과</t>
        </is>
      </c>
      <c r="C167" t="inlineStr">
        <is>
          <t>화학공학과</t>
        </is>
      </c>
      <c r="D167" t="n">
        <v>14</v>
      </c>
      <c r="E167" t="n">
        <v>22</v>
      </c>
      <c r="F167" s="48">
        <f>SUMPRODUCT(('평가'!C14:P14&lt;&gt;"")*('평가'!C22:P22&lt;&gt;""))</f>
        <v/>
      </c>
      <c r="G167" s="48">
        <f>SUMPRODUCT(('평가'!C14:P14&lt;&gt;"")*('평가'!C22:P22&lt;&gt;"")*('평가'!C14:P14='평가'!C22:P22))</f>
        <v/>
      </c>
      <c r="H167" s="49">
        <f>IF(F167=0,"",G167/F167)</f>
        <v/>
      </c>
      <c r="I167" s="46" t="n"/>
      <c r="J167" s="46" t="n"/>
      <c r="K167" s="46" t="n"/>
      <c r="L167" s="46" t="n"/>
      <c r="M167" s="46" t="n"/>
    </row>
    <row r="168">
      <c r="A168" t="n">
        <v>165</v>
      </c>
      <c r="B168" t="inlineStr">
        <is>
          <t>의예과</t>
        </is>
      </c>
      <c r="C168" t="inlineStr">
        <is>
          <t>디자인학과</t>
        </is>
      </c>
      <c r="D168" t="n">
        <v>14</v>
      </c>
      <c r="E168" t="n">
        <v>23</v>
      </c>
      <c r="F168" s="48">
        <f>SUMPRODUCT(('평가'!C14:P14&lt;&gt;"")*('평가'!C23:P23&lt;&gt;""))</f>
        <v/>
      </c>
      <c r="G168" s="48">
        <f>SUMPRODUCT(('평가'!C14:P14&lt;&gt;"")*('평가'!C23:P23&lt;&gt;"")*('평가'!C14:P14='평가'!C23:P23))</f>
        <v/>
      </c>
      <c r="H168" s="49">
        <f>IF(F168=0,"",G168/F168)</f>
        <v/>
      </c>
      <c r="I168" s="46" t="n"/>
      <c r="J168" s="46" t="n"/>
      <c r="K168" s="46" t="n"/>
      <c r="L168" s="46" t="n"/>
      <c r="M168" s="46" t="n"/>
    </row>
    <row r="169">
      <c r="A169" t="n">
        <v>166</v>
      </c>
      <c r="B169" t="inlineStr">
        <is>
          <t>의예과</t>
        </is>
      </c>
      <c r="C169" t="inlineStr">
        <is>
          <t>식품영양학과</t>
        </is>
      </c>
      <c r="D169" t="n">
        <v>14</v>
      </c>
      <c r="E169" t="n">
        <v>24</v>
      </c>
      <c r="F169" s="48">
        <f>SUMPRODUCT(('평가'!C14:P14&lt;&gt;"")*('평가'!C24:P24&lt;&gt;""))</f>
        <v/>
      </c>
      <c r="G169" s="48">
        <f>SUMPRODUCT(('평가'!C14:P14&lt;&gt;"")*('평가'!C24:P24&lt;&gt;"")*('평가'!C14:P14='평가'!C24:P24))</f>
        <v/>
      </c>
      <c r="H169" s="49">
        <f>IF(F169=0,"",G169/F169)</f>
        <v/>
      </c>
      <c r="I169" s="46" t="n"/>
      <c r="J169" s="46" t="n"/>
      <c r="K169" s="46" t="n"/>
      <c r="L169" s="46" t="n"/>
      <c r="M169" s="46" t="n"/>
    </row>
    <row r="170">
      <c r="A170" t="n">
        <v>167</v>
      </c>
      <c r="B170" t="inlineStr">
        <is>
          <t>의예과</t>
        </is>
      </c>
      <c r="C170" t="inlineStr">
        <is>
          <t>간호학과</t>
        </is>
      </c>
      <c r="D170" t="n">
        <v>14</v>
      </c>
      <c r="E170" t="n">
        <v>25</v>
      </c>
      <c r="F170" s="48">
        <f>SUMPRODUCT(('평가'!C14:P14&lt;&gt;"")*('평가'!C25:P25&lt;&gt;""))</f>
        <v/>
      </c>
      <c r="G170" s="48">
        <f>SUMPRODUCT(('평가'!C14:P14&lt;&gt;"")*('평가'!C25:P25&lt;&gt;"")*('평가'!C14:P14='평가'!C25:P25))</f>
        <v/>
      </c>
      <c r="H170" s="49">
        <f>IF(F170=0,"",G170/F170)</f>
        <v/>
      </c>
      <c r="I170" s="46" t="n"/>
      <c r="J170" s="46" t="n"/>
      <c r="K170" s="46" t="n"/>
      <c r="L170" s="46" t="n"/>
      <c r="M170" s="46" t="n"/>
    </row>
    <row r="171">
      <c r="A171" t="n">
        <v>168</v>
      </c>
      <c r="B171" t="inlineStr">
        <is>
          <t>의예과</t>
        </is>
      </c>
      <c r="C171" t="inlineStr">
        <is>
          <t>전기전자공학과</t>
        </is>
      </c>
      <c r="D171" t="n">
        <v>14</v>
      </c>
      <c r="E171" t="n">
        <v>26</v>
      </c>
      <c r="F171" s="48">
        <f>SUMPRODUCT(('평가'!C14:P14&lt;&gt;"")*('평가'!C26:P26&lt;&gt;""))</f>
        <v/>
      </c>
      <c r="G171" s="48">
        <f>SUMPRODUCT(('평가'!C14:P14&lt;&gt;"")*('평가'!C26:P26&lt;&gt;"")*('평가'!C14:P14='평가'!C26:P26))</f>
        <v/>
      </c>
      <c r="H171" s="49">
        <f>IF(F171=0,"",G171/F171)</f>
        <v/>
      </c>
      <c r="I171" s="46" t="n"/>
      <c r="J171" s="46" t="n"/>
      <c r="K171" s="46" t="n"/>
      <c r="L171" s="46" t="n"/>
      <c r="M171" s="46" t="n"/>
    </row>
    <row r="172">
      <c r="A172" t="n">
        <v>169</v>
      </c>
      <c r="B172" t="inlineStr">
        <is>
          <t>의예과</t>
        </is>
      </c>
      <c r="C172" t="inlineStr">
        <is>
          <t>사학과</t>
        </is>
      </c>
      <c r="D172" t="n">
        <v>14</v>
      </c>
      <c r="E172" t="n">
        <v>27</v>
      </c>
      <c r="F172" s="48">
        <f>SUMPRODUCT(('평가'!C14:P14&lt;&gt;"")*('평가'!C27:P27&lt;&gt;""))</f>
        <v/>
      </c>
      <c r="G172" s="48">
        <f>SUMPRODUCT(('평가'!C14:P14&lt;&gt;"")*('평가'!C27:P27&lt;&gt;"")*('평가'!C14:P14='평가'!C27:P27))</f>
        <v/>
      </c>
      <c r="H172" s="49">
        <f>IF(F172=0,"",G172/F172)</f>
        <v/>
      </c>
      <c r="I172" s="46" t="n"/>
      <c r="J172" s="46" t="n"/>
      <c r="K172" s="46" t="n"/>
      <c r="L172" s="46" t="n"/>
      <c r="M172" s="46" t="n"/>
    </row>
    <row r="173">
      <c r="A173" t="n">
        <v>170</v>
      </c>
      <c r="B173" t="inlineStr">
        <is>
          <t>의예과</t>
        </is>
      </c>
      <c r="C173" t="inlineStr">
        <is>
          <t>응용통계학과</t>
        </is>
      </c>
      <c r="D173" t="n">
        <v>14</v>
      </c>
      <c r="E173" t="n">
        <v>28</v>
      </c>
      <c r="F173" s="48">
        <f>SUMPRODUCT(('평가'!C14:P14&lt;&gt;"")*('평가'!C28:P28&lt;&gt;""))</f>
        <v/>
      </c>
      <c r="G173" s="48">
        <f>SUMPRODUCT(('평가'!C14:P14&lt;&gt;"")*('평가'!C28:P28&lt;&gt;"")*('평가'!C14:P14='평가'!C28:P28))</f>
        <v/>
      </c>
      <c r="H173" s="49">
        <f>IF(F173=0,"",G173/F173)</f>
        <v/>
      </c>
      <c r="I173" s="46" t="n"/>
      <c r="J173" s="46" t="n"/>
      <c r="K173" s="46" t="n"/>
      <c r="L173" s="46" t="n"/>
      <c r="M173" s="46" t="n"/>
    </row>
    <row r="174">
      <c r="A174" t="n">
        <v>171</v>
      </c>
      <c r="B174" t="inlineStr">
        <is>
          <t>의예과</t>
        </is>
      </c>
      <c r="C174" t="inlineStr">
        <is>
          <t>컴퓨터공학과</t>
        </is>
      </c>
      <c r="D174" t="n">
        <v>14</v>
      </c>
      <c r="E174" t="n">
        <v>29</v>
      </c>
      <c r="F174" s="48">
        <f>SUMPRODUCT(('평가'!C14:P14&lt;&gt;"")*('평가'!C29:P29&lt;&gt;""))</f>
        <v/>
      </c>
      <c r="G174" s="48">
        <f>SUMPRODUCT(('평가'!C14:P14&lt;&gt;"")*('평가'!C29:P29&lt;&gt;"")*('평가'!C14:P14='평가'!C29:P29))</f>
        <v/>
      </c>
      <c r="H174" s="49">
        <f>IF(F174=0,"",G174/F174)</f>
        <v/>
      </c>
      <c r="I174" s="46" t="n"/>
      <c r="J174" s="46" t="n"/>
      <c r="K174" s="46" t="n"/>
      <c r="L174" s="46" t="n"/>
      <c r="M174" s="46" t="n"/>
    </row>
    <row r="175">
      <c r="A175" t="n">
        <v>172</v>
      </c>
      <c r="B175" t="inlineStr">
        <is>
          <t>수학과</t>
        </is>
      </c>
      <c r="C175" t="inlineStr">
        <is>
          <t>경영학과</t>
        </is>
      </c>
      <c r="D175" t="n">
        <v>15</v>
      </c>
      <c r="E175" t="n">
        <v>16</v>
      </c>
      <c r="F175" s="48">
        <f>SUMPRODUCT(('평가'!C15:P15&lt;&gt;"")*('평가'!C16:P16&lt;&gt;""))</f>
        <v/>
      </c>
      <c r="G175" s="48">
        <f>SUMPRODUCT(('평가'!C15:P15&lt;&gt;"")*('평가'!C16:P16&lt;&gt;"")*('평가'!C15:P15='평가'!C16:P16))</f>
        <v/>
      </c>
      <c r="H175" s="49">
        <f>IF(F175=0,"",G175/F175)</f>
        <v/>
      </c>
      <c r="I175" s="46" t="n"/>
      <c r="J175" s="46" t="n"/>
      <c r="K175" s="46" t="n"/>
      <c r="L175" s="46" t="n"/>
      <c r="M175" s="46" t="n"/>
    </row>
    <row r="176">
      <c r="A176" t="n">
        <v>173</v>
      </c>
      <c r="B176" t="inlineStr">
        <is>
          <t>수학과</t>
        </is>
      </c>
      <c r="C176" t="inlineStr">
        <is>
          <t>약학과</t>
        </is>
      </c>
      <c r="D176" t="n">
        <v>15</v>
      </c>
      <c r="E176" t="n">
        <v>17</v>
      </c>
      <c r="F176" s="48">
        <f>SUMPRODUCT(('평가'!C15:P15&lt;&gt;"")*('평가'!C17:P17&lt;&gt;""))</f>
        <v/>
      </c>
      <c r="G176" s="48">
        <f>SUMPRODUCT(('평가'!C15:P15&lt;&gt;"")*('평가'!C17:P17&lt;&gt;"")*('평가'!C15:P15='평가'!C17:P17))</f>
        <v/>
      </c>
      <c r="H176" s="49">
        <f>IF(F176=0,"",G176/F176)</f>
        <v/>
      </c>
      <c r="I176" s="46" t="n"/>
      <c r="J176" s="46" t="n"/>
      <c r="K176" s="46" t="n"/>
      <c r="L176" s="46" t="n"/>
      <c r="M176" s="46" t="n"/>
    </row>
    <row r="177">
      <c r="A177" t="n">
        <v>174</v>
      </c>
      <c r="B177" t="inlineStr">
        <is>
          <t>수학과</t>
        </is>
      </c>
      <c r="C177" t="inlineStr">
        <is>
          <t>사회학과</t>
        </is>
      </c>
      <c r="D177" t="n">
        <v>15</v>
      </c>
      <c r="E177" t="n">
        <v>18</v>
      </c>
      <c r="F177" s="48">
        <f>SUMPRODUCT(('평가'!C15:P15&lt;&gt;"")*('평가'!C18:P18&lt;&gt;""))</f>
        <v/>
      </c>
      <c r="G177" s="48">
        <f>SUMPRODUCT(('평가'!C15:P15&lt;&gt;"")*('평가'!C18:P18&lt;&gt;"")*('평가'!C15:P15='평가'!C18:P18))</f>
        <v/>
      </c>
      <c r="H177" s="49">
        <f>IF(F177=0,"",G177/F177)</f>
        <v/>
      </c>
      <c r="I177" s="46" t="n"/>
      <c r="J177" s="46" t="n"/>
      <c r="K177" s="46" t="n"/>
      <c r="L177" s="46" t="n"/>
      <c r="M177" s="46" t="n"/>
    </row>
    <row r="178">
      <c r="A178" t="n">
        <v>175</v>
      </c>
      <c r="B178" t="inlineStr">
        <is>
          <t>수학과</t>
        </is>
      </c>
      <c r="C178" t="inlineStr">
        <is>
          <t>경제학과</t>
        </is>
      </c>
      <c r="D178" t="n">
        <v>15</v>
      </c>
      <c r="E178" t="n">
        <v>19</v>
      </c>
      <c r="F178" s="48">
        <f>SUMPRODUCT(('평가'!C15:P15&lt;&gt;"")*('평가'!C19:P19&lt;&gt;""))</f>
        <v/>
      </c>
      <c r="G178" s="48">
        <f>SUMPRODUCT(('평가'!C15:P15&lt;&gt;"")*('평가'!C19:P19&lt;&gt;"")*('평가'!C15:P15='평가'!C19:P19))</f>
        <v/>
      </c>
      <c r="H178" s="49">
        <f>IF(F178=0,"",G178/F178)</f>
        <v/>
      </c>
      <c r="I178" s="46" t="n"/>
      <c r="J178" s="46" t="n"/>
      <c r="K178" s="46" t="n"/>
      <c r="L178" s="46" t="n"/>
      <c r="M178" s="46" t="n"/>
    </row>
    <row r="179">
      <c r="A179" t="n">
        <v>176</v>
      </c>
      <c r="B179" t="inlineStr">
        <is>
          <t>수학과</t>
        </is>
      </c>
      <c r="C179" t="inlineStr">
        <is>
          <t>생명과학과</t>
        </is>
      </c>
      <c r="D179" t="n">
        <v>15</v>
      </c>
      <c r="E179" t="n">
        <v>20</v>
      </c>
      <c r="F179" s="48">
        <f>SUMPRODUCT(('평가'!C15:P15&lt;&gt;"")*('평가'!C20:P20&lt;&gt;""))</f>
        <v/>
      </c>
      <c r="G179" s="48">
        <f>SUMPRODUCT(('평가'!C15:P15&lt;&gt;"")*('평가'!C20:P20&lt;&gt;"")*('평가'!C15:P15='평가'!C20:P20))</f>
        <v/>
      </c>
      <c r="H179" s="49">
        <f>IF(F179=0,"",G179/F179)</f>
        <v/>
      </c>
      <c r="I179" s="46" t="n"/>
      <c r="J179" s="46" t="n"/>
      <c r="K179" s="46" t="n"/>
      <c r="L179" s="46" t="n"/>
      <c r="M179" s="46" t="n"/>
    </row>
    <row r="180">
      <c r="A180" t="n">
        <v>177</v>
      </c>
      <c r="B180" t="inlineStr">
        <is>
          <t>수학과</t>
        </is>
      </c>
      <c r="C180" t="inlineStr">
        <is>
          <t>미디어커뮤니케이션학과</t>
        </is>
      </c>
      <c r="D180" t="n">
        <v>15</v>
      </c>
      <c r="E180" t="n">
        <v>21</v>
      </c>
      <c r="F180" s="48">
        <f>SUMPRODUCT(('평가'!C15:P15&lt;&gt;"")*('평가'!C21:P21&lt;&gt;""))</f>
        <v/>
      </c>
      <c r="G180" s="48">
        <f>SUMPRODUCT(('평가'!C15:P15&lt;&gt;"")*('평가'!C21:P21&lt;&gt;"")*('평가'!C15:P15='평가'!C21:P21))</f>
        <v/>
      </c>
      <c r="H180" s="49">
        <f>IF(F180=0,"",G180/F180)</f>
        <v/>
      </c>
      <c r="I180" s="46" t="n"/>
      <c r="J180" s="46" t="n"/>
      <c r="K180" s="46" t="n"/>
      <c r="L180" s="46" t="n"/>
      <c r="M180" s="46" t="n"/>
    </row>
    <row r="181">
      <c r="A181" t="n">
        <v>178</v>
      </c>
      <c r="B181" t="inlineStr">
        <is>
          <t>수학과</t>
        </is>
      </c>
      <c r="C181" t="inlineStr">
        <is>
          <t>화학공학과</t>
        </is>
      </c>
      <c r="D181" t="n">
        <v>15</v>
      </c>
      <c r="E181" t="n">
        <v>22</v>
      </c>
      <c r="F181" s="48">
        <f>SUMPRODUCT(('평가'!C15:P15&lt;&gt;"")*('평가'!C22:P22&lt;&gt;""))</f>
        <v/>
      </c>
      <c r="G181" s="48">
        <f>SUMPRODUCT(('평가'!C15:P15&lt;&gt;"")*('평가'!C22:P22&lt;&gt;"")*('평가'!C15:P15='평가'!C22:P22))</f>
        <v/>
      </c>
      <c r="H181" s="49">
        <f>IF(F181=0,"",G181/F181)</f>
        <v/>
      </c>
      <c r="I181" s="46" t="n"/>
      <c r="J181" s="46" t="n"/>
      <c r="K181" s="46" t="n"/>
      <c r="L181" s="46" t="n"/>
      <c r="M181" s="46" t="n"/>
    </row>
    <row r="182">
      <c r="A182" t="n">
        <v>179</v>
      </c>
      <c r="B182" t="inlineStr">
        <is>
          <t>수학과</t>
        </is>
      </c>
      <c r="C182" t="inlineStr">
        <is>
          <t>디자인학과</t>
        </is>
      </c>
      <c r="D182" t="n">
        <v>15</v>
      </c>
      <c r="E182" t="n">
        <v>23</v>
      </c>
      <c r="F182" s="48">
        <f>SUMPRODUCT(('평가'!C15:P15&lt;&gt;"")*('평가'!C23:P23&lt;&gt;""))</f>
        <v/>
      </c>
      <c r="G182" s="48">
        <f>SUMPRODUCT(('평가'!C15:P15&lt;&gt;"")*('평가'!C23:P23&lt;&gt;"")*('평가'!C15:P15='평가'!C23:P23))</f>
        <v/>
      </c>
      <c r="H182" s="49">
        <f>IF(F182=0,"",G182/F182)</f>
        <v/>
      </c>
      <c r="I182" s="46" t="n"/>
      <c r="J182" s="46" t="n"/>
      <c r="K182" s="46" t="n"/>
      <c r="L182" s="46" t="n"/>
      <c r="M182" s="46" t="n"/>
    </row>
    <row r="183">
      <c r="A183" t="n">
        <v>180</v>
      </c>
      <c r="B183" t="inlineStr">
        <is>
          <t>수학과</t>
        </is>
      </c>
      <c r="C183" t="inlineStr">
        <is>
          <t>식품영양학과</t>
        </is>
      </c>
      <c r="D183" t="n">
        <v>15</v>
      </c>
      <c r="E183" t="n">
        <v>24</v>
      </c>
      <c r="F183" s="48">
        <f>SUMPRODUCT(('평가'!C15:P15&lt;&gt;"")*('평가'!C24:P24&lt;&gt;""))</f>
        <v/>
      </c>
      <c r="G183" s="48">
        <f>SUMPRODUCT(('평가'!C15:P15&lt;&gt;"")*('평가'!C24:P24&lt;&gt;"")*('평가'!C15:P15='평가'!C24:P24))</f>
        <v/>
      </c>
      <c r="H183" s="49">
        <f>IF(F183=0,"",G183/F183)</f>
        <v/>
      </c>
      <c r="I183" s="46" t="n"/>
      <c r="J183" s="46" t="n"/>
      <c r="K183" s="46" t="n"/>
      <c r="L183" s="46" t="n"/>
      <c r="M183" s="46" t="n"/>
    </row>
    <row r="184">
      <c r="A184" t="n">
        <v>181</v>
      </c>
      <c r="B184" t="inlineStr">
        <is>
          <t>수학과</t>
        </is>
      </c>
      <c r="C184" t="inlineStr">
        <is>
          <t>간호학과</t>
        </is>
      </c>
      <c r="D184" t="n">
        <v>15</v>
      </c>
      <c r="E184" t="n">
        <v>25</v>
      </c>
      <c r="F184" s="48">
        <f>SUMPRODUCT(('평가'!C15:P15&lt;&gt;"")*('평가'!C25:P25&lt;&gt;""))</f>
        <v/>
      </c>
      <c r="G184" s="48">
        <f>SUMPRODUCT(('평가'!C15:P15&lt;&gt;"")*('평가'!C25:P25&lt;&gt;"")*('평가'!C15:P15='평가'!C25:P25))</f>
        <v/>
      </c>
      <c r="H184" s="49">
        <f>IF(F184=0,"",G184/F184)</f>
        <v/>
      </c>
      <c r="I184" s="46" t="n"/>
      <c r="J184" s="46" t="n"/>
      <c r="K184" s="46" t="n"/>
      <c r="L184" s="46" t="n"/>
      <c r="M184" s="46" t="n"/>
    </row>
    <row r="185">
      <c r="A185" t="n">
        <v>182</v>
      </c>
      <c r="B185" t="inlineStr">
        <is>
          <t>수학과</t>
        </is>
      </c>
      <c r="C185" t="inlineStr">
        <is>
          <t>전기전자공학과</t>
        </is>
      </c>
      <c r="D185" t="n">
        <v>15</v>
      </c>
      <c r="E185" t="n">
        <v>26</v>
      </c>
      <c r="F185" s="48">
        <f>SUMPRODUCT(('평가'!C15:P15&lt;&gt;"")*('평가'!C26:P26&lt;&gt;""))</f>
        <v/>
      </c>
      <c r="G185" s="48">
        <f>SUMPRODUCT(('평가'!C15:P15&lt;&gt;"")*('평가'!C26:P26&lt;&gt;"")*('평가'!C15:P15='평가'!C26:P26))</f>
        <v/>
      </c>
      <c r="H185" s="49">
        <f>IF(F185=0,"",G185/F185)</f>
        <v/>
      </c>
      <c r="I185" s="46" t="n"/>
      <c r="J185" s="46" t="n"/>
      <c r="K185" s="46" t="n"/>
      <c r="L185" s="46" t="n"/>
      <c r="M185" s="46" t="n"/>
    </row>
    <row r="186">
      <c r="A186" t="n">
        <v>183</v>
      </c>
      <c r="B186" t="inlineStr">
        <is>
          <t>수학과</t>
        </is>
      </c>
      <c r="C186" t="inlineStr">
        <is>
          <t>사학과</t>
        </is>
      </c>
      <c r="D186" t="n">
        <v>15</v>
      </c>
      <c r="E186" t="n">
        <v>27</v>
      </c>
      <c r="F186" s="48">
        <f>SUMPRODUCT(('평가'!C15:P15&lt;&gt;"")*('평가'!C27:P27&lt;&gt;""))</f>
        <v/>
      </c>
      <c r="G186" s="48">
        <f>SUMPRODUCT(('평가'!C15:P15&lt;&gt;"")*('평가'!C27:P27&lt;&gt;"")*('평가'!C15:P15='평가'!C27:P27))</f>
        <v/>
      </c>
      <c r="H186" s="49">
        <f>IF(F186=0,"",G186/F186)</f>
        <v/>
      </c>
      <c r="I186" s="46" t="n"/>
      <c r="J186" s="46" t="n"/>
      <c r="K186" s="46" t="n"/>
      <c r="L186" s="46" t="n"/>
      <c r="M186" s="46" t="n"/>
    </row>
    <row r="187">
      <c r="A187" t="n">
        <v>184</v>
      </c>
      <c r="B187" t="inlineStr">
        <is>
          <t>수학과</t>
        </is>
      </c>
      <c r="C187" t="inlineStr">
        <is>
          <t>응용통계학과</t>
        </is>
      </c>
      <c r="D187" t="n">
        <v>15</v>
      </c>
      <c r="E187" t="n">
        <v>28</v>
      </c>
      <c r="F187" s="48">
        <f>SUMPRODUCT(('평가'!C15:P15&lt;&gt;"")*('평가'!C28:P28&lt;&gt;""))</f>
        <v/>
      </c>
      <c r="G187" s="48">
        <f>SUMPRODUCT(('평가'!C15:P15&lt;&gt;"")*('평가'!C28:P28&lt;&gt;"")*('평가'!C15:P15='평가'!C28:P28))</f>
        <v/>
      </c>
      <c r="H187" s="49">
        <f>IF(F187=0,"",G187/F187)</f>
        <v/>
      </c>
      <c r="I187" s="46" t="n"/>
      <c r="J187" s="46" t="n"/>
      <c r="K187" s="46" t="n"/>
      <c r="L187" s="46" t="n"/>
      <c r="M187" s="46" t="n"/>
    </row>
    <row r="188">
      <c r="A188" t="n">
        <v>185</v>
      </c>
      <c r="B188" t="inlineStr">
        <is>
          <t>수학과</t>
        </is>
      </c>
      <c r="C188" t="inlineStr">
        <is>
          <t>컴퓨터공학과</t>
        </is>
      </c>
      <c r="D188" t="n">
        <v>15</v>
      </c>
      <c r="E188" t="n">
        <v>29</v>
      </c>
      <c r="F188" s="48">
        <f>SUMPRODUCT(('평가'!C15:P15&lt;&gt;"")*('평가'!C29:P29&lt;&gt;""))</f>
        <v/>
      </c>
      <c r="G188" s="48">
        <f>SUMPRODUCT(('평가'!C15:P15&lt;&gt;"")*('평가'!C29:P29&lt;&gt;"")*('평가'!C15:P15='평가'!C29:P29))</f>
        <v/>
      </c>
      <c r="H188" s="49">
        <f>IF(F188=0,"",G188/F188)</f>
        <v/>
      </c>
      <c r="I188" s="46" t="n"/>
      <c r="J188" s="46" t="n"/>
      <c r="K188" s="46" t="n"/>
      <c r="L188" s="46" t="n"/>
      <c r="M188" s="46" t="n"/>
    </row>
    <row r="189">
      <c r="A189" t="n">
        <v>186</v>
      </c>
      <c r="B189" t="inlineStr">
        <is>
          <t>경영학과</t>
        </is>
      </c>
      <c r="C189" t="inlineStr">
        <is>
          <t>약학과</t>
        </is>
      </c>
      <c r="D189" t="n">
        <v>16</v>
      </c>
      <c r="E189" t="n">
        <v>17</v>
      </c>
      <c r="F189" s="48">
        <f>SUMPRODUCT(('평가'!C16:P16&lt;&gt;"")*('평가'!C17:P17&lt;&gt;""))</f>
        <v/>
      </c>
      <c r="G189" s="48">
        <f>SUMPRODUCT(('평가'!C16:P16&lt;&gt;"")*('평가'!C17:P17&lt;&gt;"")*('평가'!C16:P16='평가'!C17:P17))</f>
        <v/>
      </c>
      <c r="H189" s="49">
        <f>IF(F189=0,"",G189/F189)</f>
        <v/>
      </c>
      <c r="I189" s="46" t="n"/>
      <c r="J189" s="46" t="n"/>
      <c r="K189" s="46" t="n"/>
      <c r="L189" s="46" t="n"/>
      <c r="M189" s="46" t="n"/>
    </row>
    <row r="190">
      <c r="A190" t="n">
        <v>187</v>
      </c>
      <c r="B190" t="inlineStr">
        <is>
          <t>경영학과</t>
        </is>
      </c>
      <c r="C190" t="inlineStr">
        <is>
          <t>사회학과</t>
        </is>
      </c>
      <c r="D190" t="n">
        <v>16</v>
      </c>
      <c r="E190" t="n">
        <v>18</v>
      </c>
      <c r="F190" s="48">
        <f>SUMPRODUCT(('평가'!C16:P16&lt;&gt;"")*('평가'!C18:P18&lt;&gt;""))</f>
        <v/>
      </c>
      <c r="G190" s="48">
        <f>SUMPRODUCT(('평가'!C16:P16&lt;&gt;"")*('평가'!C18:P18&lt;&gt;"")*('평가'!C16:P16='평가'!C18:P18))</f>
        <v/>
      </c>
      <c r="H190" s="49">
        <f>IF(F190=0,"",G190/F190)</f>
        <v/>
      </c>
      <c r="I190" s="46" t="n"/>
      <c r="J190" s="46" t="n"/>
      <c r="K190" s="46" t="n"/>
      <c r="L190" s="46" t="n"/>
      <c r="M190" s="46" t="n"/>
    </row>
    <row r="191">
      <c r="A191" t="n">
        <v>188</v>
      </c>
      <c r="B191" t="inlineStr">
        <is>
          <t>경영학과</t>
        </is>
      </c>
      <c r="C191" t="inlineStr">
        <is>
          <t>경제학과</t>
        </is>
      </c>
      <c r="D191" t="n">
        <v>16</v>
      </c>
      <c r="E191" t="n">
        <v>19</v>
      </c>
      <c r="F191" s="48">
        <f>SUMPRODUCT(('평가'!C16:P16&lt;&gt;"")*('평가'!C19:P19&lt;&gt;""))</f>
        <v/>
      </c>
      <c r="G191" s="48">
        <f>SUMPRODUCT(('평가'!C16:P16&lt;&gt;"")*('평가'!C19:P19&lt;&gt;"")*('평가'!C16:P16='평가'!C19:P19))</f>
        <v/>
      </c>
      <c r="H191" s="49">
        <f>IF(F191=0,"",G191/F191)</f>
        <v/>
      </c>
      <c r="I191" s="46" t="n"/>
      <c r="J191" s="46" t="n"/>
      <c r="K191" s="46" t="n"/>
      <c r="L191" s="46" t="n"/>
      <c r="M191" s="46" t="n"/>
    </row>
    <row r="192">
      <c r="A192" t="n">
        <v>189</v>
      </c>
      <c r="B192" t="inlineStr">
        <is>
          <t>경영학과</t>
        </is>
      </c>
      <c r="C192" t="inlineStr">
        <is>
          <t>생명과학과</t>
        </is>
      </c>
      <c r="D192" t="n">
        <v>16</v>
      </c>
      <c r="E192" t="n">
        <v>20</v>
      </c>
      <c r="F192" s="48">
        <f>SUMPRODUCT(('평가'!C16:P16&lt;&gt;"")*('평가'!C20:P20&lt;&gt;""))</f>
        <v/>
      </c>
      <c r="G192" s="48">
        <f>SUMPRODUCT(('평가'!C16:P16&lt;&gt;"")*('평가'!C20:P20&lt;&gt;"")*('평가'!C16:P16='평가'!C20:P20))</f>
        <v/>
      </c>
      <c r="H192" s="49">
        <f>IF(F192=0,"",G192/F192)</f>
        <v/>
      </c>
      <c r="I192" s="46" t="n"/>
      <c r="J192" s="46" t="n"/>
      <c r="K192" s="46" t="n"/>
      <c r="L192" s="46" t="n"/>
      <c r="M192" s="46" t="n"/>
    </row>
    <row r="193">
      <c r="A193" t="n">
        <v>190</v>
      </c>
      <c r="B193" t="inlineStr">
        <is>
          <t>경영학과</t>
        </is>
      </c>
      <c r="C193" t="inlineStr">
        <is>
          <t>미디어커뮤니케이션학과</t>
        </is>
      </c>
      <c r="D193" t="n">
        <v>16</v>
      </c>
      <c r="E193" t="n">
        <v>21</v>
      </c>
      <c r="F193" s="48">
        <f>SUMPRODUCT(('평가'!C16:P16&lt;&gt;"")*('평가'!C21:P21&lt;&gt;""))</f>
        <v/>
      </c>
      <c r="G193" s="48">
        <f>SUMPRODUCT(('평가'!C16:P16&lt;&gt;"")*('평가'!C21:P21&lt;&gt;"")*('평가'!C16:P16='평가'!C21:P21))</f>
        <v/>
      </c>
      <c r="H193" s="49">
        <f>IF(F193=0,"",G193/F193)</f>
        <v/>
      </c>
      <c r="I193" s="46" t="n"/>
      <c r="J193" s="46" t="n"/>
      <c r="K193" s="46" t="n"/>
      <c r="L193" s="46" t="n"/>
      <c r="M193" s="46" t="n"/>
    </row>
    <row r="194">
      <c r="A194" t="n">
        <v>191</v>
      </c>
      <c r="B194" t="inlineStr">
        <is>
          <t>경영학과</t>
        </is>
      </c>
      <c r="C194" t="inlineStr">
        <is>
          <t>화학공학과</t>
        </is>
      </c>
      <c r="D194" t="n">
        <v>16</v>
      </c>
      <c r="E194" t="n">
        <v>22</v>
      </c>
      <c r="F194" s="48">
        <f>SUMPRODUCT(('평가'!C16:P16&lt;&gt;"")*('평가'!C22:P22&lt;&gt;""))</f>
        <v/>
      </c>
      <c r="G194" s="48">
        <f>SUMPRODUCT(('평가'!C16:P16&lt;&gt;"")*('평가'!C22:P22&lt;&gt;"")*('평가'!C16:P16='평가'!C22:P22))</f>
        <v/>
      </c>
      <c r="H194" s="49">
        <f>IF(F194=0,"",G194/F194)</f>
        <v/>
      </c>
      <c r="I194" s="46" t="n"/>
      <c r="J194" s="46" t="n"/>
      <c r="K194" s="46" t="n"/>
      <c r="L194" s="46" t="n"/>
      <c r="M194" s="46" t="n"/>
    </row>
    <row r="195">
      <c r="A195" t="n">
        <v>192</v>
      </c>
      <c r="B195" t="inlineStr">
        <is>
          <t>경영학과</t>
        </is>
      </c>
      <c r="C195" t="inlineStr">
        <is>
          <t>디자인학과</t>
        </is>
      </c>
      <c r="D195" t="n">
        <v>16</v>
      </c>
      <c r="E195" t="n">
        <v>23</v>
      </c>
      <c r="F195" s="48">
        <f>SUMPRODUCT(('평가'!C16:P16&lt;&gt;"")*('평가'!C23:P23&lt;&gt;""))</f>
        <v/>
      </c>
      <c r="G195" s="48">
        <f>SUMPRODUCT(('평가'!C16:P16&lt;&gt;"")*('평가'!C23:P23&lt;&gt;"")*('평가'!C16:P16='평가'!C23:P23))</f>
        <v/>
      </c>
      <c r="H195" s="49">
        <f>IF(F195=0,"",G195/F195)</f>
        <v/>
      </c>
      <c r="I195" s="46" t="n"/>
      <c r="J195" s="46" t="n"/>
      <c r="K195" s="46" t="n"/>
      <c r="L195" s="46" t="n"/>
      <c r="M195" s="46" t="n"/>
    </row>
    <row r="196">
      <c r="A196" t="n">
        <v>193</v>
      </c>
      <c r="B196" t="inlineStr">
        <is>
          <t>경영학과</t>
        </is>
      </c>
      <c r="C196" t="inlineStr">
        <is>
          <t>식품영양학과</t>
        </is>
      </c>
      <c r="D196" t="n">
        <v>16</v>
      </c>
      <c r="E196" t="n">
        <v>24</v>
      </c>
      <c r="F196" s="48">
        <f>SUMPRODUCT(('평가'!C16:P16&lt;&gt;"")*('평가'!C24:P24&lt;&gt;""))</f>
        <v/>
      </c>
      <c r="G196" s="48">
        <f>SUMPRODUCT(('평가'!C16:P16&lt;&gt;"")*('평가'!C24:P24&lt;&gt;"")*('평가'!C16:P16='평가'!C24:P24))</f>
        <v/>
      </c>
      <c r="H196" s="49">
        <f>IF(F196=0,"",G196/F196)</f>
        <v/>
      </c>
      <c r="I196" s="46" t="n"/>
      <c r="J196" s="46" t="n"/>
      <c r="K196" s="46" t="n"/>
      <c r="L196" s="46" t="n"/>
      <c r="M196" s="46" t="n"/>
    </row>
    <row r="197">
      <c r="A197" t="n">
        <v>194</v>
      </c>
      <c r="B197" t="inlineStr">
        <is>
          <t>경영학과</t>
        </is>
      </c>
      <c r="C197" t="inlineStr">
        <is>
          <t>간호학과</t>
        </is>
      </c>
      <c r="D197" t="n">
        <v>16</v>
      </c>
      <c r="E197" t="n">
        <v>25</v>
      </c>
      <c r="F197" s="48">
        <f>SUMPRODUCT(('평가'!C16:P16&lt;&gt;"")*('평가'!C25:P25&lt;&gt;""))</f>
        <v/>
      </c>
      <c r="G197" s="48">
        <f>SUMPRODUCT(('평가'!C16:P16&lt;&gt;"")*('평가'!C25:P25&lt;&gt;"")*('평가'!C16:P16='평가'!C25:P25))</f>
        <v/>
      </c>
      <c r="H197" s="49">
        <f>IF(F197=0,"",G197/F197)</f>
        <v/>
      </c>
      <c r="I197" s="46" t="n"/>
      <c r="J197" s="46" t="n"/>
      <c r="K197" s="46" t="n"/>
      <c r="L197" s="46" t="n"/>
      <c r="M197" s="46" t="n"/>
    </row>
    <row r="198">
      <c r="A198" t="n">
        <v>195</v>
      </c>
      <c r="B198" t="inlineStr">
        <is>
          <t>경영학과</t>
        </is>
      </c>
      <c r="C198" t="inlineStr">
        <is>
          <t>전기전자공학과</t>
        </is>
      </c>
      <c r="D198" t="n">
        <v>16</v>
      </c>
      <c r="E198" t="n">
        <v>26</v>
      </c>
      <c r="F198" s="48">
        <f>SUMPRODUCT(('평가'!C16:P16&lt;&gt;"")*('평가'!C26:P26&lt;&gt;""))</f>
        <v/>
      </c>
      <c r="G198" s="48">
        <f>SUMPRODUCT(('평가'!C16:P16&lt;&gt;"")*('평가'!C26:P26&lt;&gt;"")*('평가'!C16:P16='평가'!C26:P26))</f>
        <v/>
      </c>
      <c r="H198" s="49">
        <f>IF(F198=0,"",G198/F198)</f>
        <v/>
      </c>
      <c r="I198" s="46" t="n"/>
      <c r="J198" s="46" t="n"/>
      <c r="K198" s="46" t="n"/>
      <c r="L198" s="46" t="n"/>
      <c r="M198" s="46" t="n"/>
    </row>
    <row r="199">
      <c r="A199" t="n">
        <v>196</v>
      </c>
      <c r="B199" t="inlineStr">
        <is>
          <t>경영학과</t>
        </is>
      </c>
      <c r="C199" t="inlineStr">
        <is>
          <t>사학과</t>
        </is>
      </c>
      <c r="D199" t="n">
        <v>16</v>
      </c>
      <c r="E199" t="n">
        <v>27</v>
      </c>
      <c r="F199" s="48">
        <f>SUMPRODUCT(('평가'!C16:P16&lt;&gt;"")*('평가'!C27:P27&lt;&gt;""))</f>
        <v/>
      </c>
      <c r="G199" s="48">
        <f>SUMPRODUCT(('평가'!C16:P16&lt;&gt;"")*('평가'!C27:P27&lt;&gt;"")*('평가'!C16:P16='평가'!C27:P27))</f>
        <v/>
      </c>
      <c r="H199" s="49">
        <f>IF(F199=0,"",G199/F199)</f>
        <v/>
      </c>
      <c r="I199" s="46" t="n"/>
      <c r="J199" s="46" t="n"/>
      <c r="K199" s="46" t="n"/>
      <c r="L199" s="46" t="n"/>
      <c r="M199" s="46" t="n"/>
    </row>
    <row r="200">
      <c r="A200" t="n">
        <v>197</v>
      </c>
      <c r="B200" t="inlineStr">
        <is>
          <t>경영학과</t>
        </is>
      </c>
      <c r="C200" t="inlineStr">
        <is>
          <t>응용통계학과</t>
        </is>
      </c>
      <c r="D200" t="n">
        <v>16</v>
      </c>
      <c r="E200" t="n">
        <v>28</v>
      </c>
      <c r="F200" s="48">
        <f>SUMPRODUCT(('평가'!C16:P16&lt;&gt;"")*('평가'!C28:P28&lt;&gt;""))</f>
        <v/>
      </c>
      <c r="G200" s="48">
        <f>SUMPRODUCT(('평가'!C16:P16&lt;&gt;"")*('평가'!C28:P28&lt;&gt;"")*('평가'!C16:P16='평가'!C28:P28))</f>
        <v/>
      </c>
      <c r="H200" s="49">
        <f>IF(F200=0,"",G200/F200)</f>
        <v/>
      </c>
      <c r="I200" s="46" t="n"/>
      <c r="J200" s="46" t="n"/>
      <c r="K200" s="46" t="n"/>
      <c r="L200" s="46" t="n"/>
      <c r="M200" s="46" t="n"/>
    </row>
    <row r="201">
      <c r="A201" t="n">
        <v>198</v>
      </c>
      <c r="B201" t="inlineStr">
        <is>
          <t>경영학과</t>
        </is>
      </c>
      <c r="C201" t="inlineStr">
        <is>
          <t>컴퓨터공학과</t>
        </is>
      </c>
      <c r="D201" t="n">
        <v>16</v>
      </c>
      <c r="E201" t="n">
        <v>29</v>
      </c>
      <c r="F201" s="48">
        <f>SUMPRODUCT(('평가'!C16:P16&lt;&gt;"")*('평가'!C29:P29&lt;&gt;""))</f>
        <v/>
      </c>
      <c r="G201" s="48">
        <f>SUMPRODUCT(('평가'!C16:P16&lt;&gt;"")*('평가'!C29:P29&lt;&gt;"")*('평가'!C16:P16='평가'!C29:P29))</f>
        <v/>
      </c>
      <c r="H201" s="49">
        <f>IF(F201=0,"",G201/F201)</f>
        <v/>
      </c>
      <c r="I201" s="46" t="n"/>
      <c r="J201" s="46" t="n"/>
      <c r="K201" s="46" t="n"/>
      <c r="L201" s="46" t="n"/>
      <c r="M201" s="46" t="n"/>
    </row>
    <row r="202">
      <c r="A202" t="n">
        <v>199</v>
      </c>
      <c r="B202" t="inlineStr">
        <is>
          <t>약학과</t>
        </is>
      </c>
      <c r="C202" t="inlineStr">
        <is>
          <t>사회학과</t>
        </is>
      </c>
      <c r="D202" t="n">
        <v>17</v>
      </c>
      <c r="E202" t="n">
        <v>18</v>
      </c>
      <c r="F202" s="48">
        <f>SUMPRODUCT(('평가'!C17:P17&lt;&gt;"")*('평가'!C18:P18&lt;&gt;""))</f>
        <v/>
      </c>
      <c r="G202" s="48">
        <f>SUMPRODUCT(('평가'!C17:P17&lt;&gt;"")*('평가'!C18:P18&lt;&gt;"")*('평가'!C17:P17='평가'!C18:P18))</f>
        <v/>
      </c>
      <c r="H202" s="49">
        <f>IF(F202=0,"",G202/F202)</f>
        <v/>
      </c>
      <c r="I202" s="46" t="n"/>
      <c r="J202" s="46" t="n"/>
      <c r="K202" s="46" t="n"/>
      <c r="L202" s="46" t="n"/>
      <c r="M202" s="46" t="n"/>
    </row>
    <row r="203">
      <c r="A203" t="n">
        <v>200</v>
      </c>
      <c r="B203" t="inlineStr">
        <is>
          <t>약학과</t>
        </is>
      </c>
      <c r="C203" t="inlineStr">
        <is>
          <t>경제학과</t>
        </is>
      </c>
      <c r="D203" t="n">
        <v>17</v>
      </c>
      <c r="E203" t="n">
        <v>19</v>
      </c>
      <c r="F203" s="48">
        <f>SUMPRODUCT(('평가'!C17:P17&lt;&gt;"")*('평가'!C19:P19&lt;&gt;""))</f>
        <v/>
      </c>
      <c r="G203" s="48">
        <f>SUMPRODUCT(('평가'!C17:P17&lt;&gt;"")*('평가'!C19:P19&lt;&gt;"")*('평가'!C17:P17='평가'!C19:P19))</f>
        <v/>
      </c>
      <c r="H203" s="49">
        <f>IF(F203=0,"",G203/F203)</f>
        <v/>
      </c>
      <c r="I203" s="46" t="n"/>
      <c r="J203" s="46" t="n"/>
      <c r="K203" s="46" t="n"/>
      <c r="L203" s="46" t="n"/>
      <c r="M203" s="46" t="n"/>
    </row>
    <row r="204">
      <c r="A204" t="n">
        <v>201</v>
      </c>
      <c r="B204" t="inlineStr">
        <is>
          <t>약학과</t>
        </is>
      </c>
      <c r="C204" t="inlineStr">
        <is>
          <t>생명과학과</t>
        </is>
      </c>
      <c r="D204" t="n">
        <v>17</v>
      </c>
      <c r="E204" t="n">
        <v>20</v>
      </c>
      <c r="F204" s="48">
        <f>SUMPRODUCT(('평가'!C17:P17&lt;&gt;"")*('평가'!C20:P20&lt;&gt;""))</f>
        <v/>
      </c>
      <c r="G204" s="48">
        <f>SUMPRODUCT(('평가'!C17:P17&lt;&gt;"")*('평가'!C20:P20&lt;&gt;"")*('평가'!C17:P17='평가'!C20:P20))</f>
        <v/>
      </c>
      <c r="H204" s="49">
        <f>IF(F204=0,"",G204/F204)</f>
        <v/>
      </c>
      <c r="I204" s="46" t="n"/>
      <c r="J204" s="46" t="n"/>
      <c r="K204" s="46" t="n"/>
      <c r="L204" s="46" t="n"/>
      <c r="M204" s="46" t="n"/>
    </row>
    <row r="205">
      <c r="A205" t="n">
        <v>202</v>
      </c>
      <c r="B205" t="inlineStr">
        <is>
          <t>약학과</t>
        </is>
      </c>
      <c r="C205" t="inlineStr">
        <is>
          <t>미디어커뮤니케이션학과</t>
        </is>
      </c>
      <c r="D205" t="n">
        <v>17</v>
      </c>
      <c r="E205" t="n">
        <v>21</v>
      </c>
      <c r="F205" s="48">
        <f>SUMPRODUCT(('평가'!C17:P17&lt;&gt;"")*('평가'!C21:P21&lt;&gt;""))</f>
        <v/>
      </c>
      <c r="G205" s="48">
        <f>SUMPRODUCT(('평가'!C17:P17&lt;&gt;"")*('평가'!C21:P21&lt;&gt;"")*('평가'!C17:P17='평가'!C21:P21))</f>
        <v/>
      </c>
      <c r="H205" s="49">
        <f>IF(F205=0,"",G205/F205)</f>
        <v/>
      </c>
      <c r="I205" s="46" t="n"/>
      <c r="J205" s="46" t="n"/>
      <c r="K205" s="46" t="n"/>
      <c r="L205" s="46" t="n"/>
      <c r="M205" s="46" t="n"/>
    </row>
    <row r="206">
      <c r="A206" t="n">
        <v>203</v>
      </c>
      <c r="B206" t="inlineStr">
        <is>
          <t>약학과</t>
        </is>
      </c>
      <c r="C206" t="inlineStr">
        <is>
          <t>화학공학과</t>
        </is>
      </c>
      <c r="D206" t="n">
        <v>17</v>
      </c>
      <c r="E206" t="n">
        <v>22</v>
      </c>
      <c r="F206" s="48">
        <f>SUMPRODUCT(('평가'!C17:P17&lt;&gt;"")*('평가'!C22:P22&lt;&gt;""))</f>
        <v/>
      </c>
      <c r="G206" s="48">
        <f>SUMPRODUCT(('평가'!C17:P17&lt;&gt;"")*('평가'!C22:P22&lt;&gt;"")*('평가'!C17:P17='평가'!C22:P22))</f>
        <v/>
      </c>
      <c r="H206" s="49">
        <f>IF(F206=0,"",G206/F206)</f>
        <v/>
      </c>
      <c r="I206" s="46" t="n"/>
      <c r="J206" s="46" t="n"/>
      <c r="K206" s="46" t="n"/>
      <c r="L206" s="46" t="n"/>
      <c r="M206" s="46" t="n"/>
    </row>
    <row r="207">
      <c r="A207" t="n">
        <v>204</v>
      </c>
      <c r="B207" t="inlineStr">
        <is>
          <t>약학과</t>
        </is>
      </c>
      <c r="C207" t="inlineStr">
        <is>
          <t>디자인학과</t>
        </is>
      </c>
      <c r="D207" t="n">
        <v>17</v>
      </c>
      <c r="E207" t="n">
        <v>23</v>
      </c>
      <c r="F207" s="48">
        <f>SUMPRODUCT(('평가'!C17:P17&lt;&gt;"")*('평가'!C23:P23&lt;&gt;""))</f>
        <v/>
      </c>
      <c r="G207" s="48">
        <f>SUMPRODUCT(('평가'!C17:P17&lt;&gt;"")*('평가'!C23:P23&lt;&gt;"")*('평가'!C17:P17='평가'!C23:P23))</f>
        <v/>
      </c>
      <c r="H207" s="49">
        <f>IF(F207=0,"",G207/F207)</f>
        <v/>
      </c>
      <c r="I207" s="46" t="n"/>
      <c r="J207" s="46" t="n"/>
      <c r="K207" s="46" t="n"/>
      <c r="L207" s="46" t="n"/>
      <c r="M207" s="46" t="n"/>
    </row>
    <row r="208">
      <c r="A208" t="n">
        <v>205</v>
      </c>
      <c r="B208" t="inlineStr">
        <is>
          <t>약학과</t>
        </is>
      </c>
      <c r="C208" t="inlineStr">
        <is>
          <t>식품영양학과</t>
        </is>
      </c>
      <c r="D208" t="n">
        <v>17</v>
      </c>
      <c r="E208" t="n">
        <v>24</v>
      </c>
      <c r="F208" s="48">
        <f>SUMPRODUCT(('평가'!C17:P17&lt;&gt;"")*('평가'!C24:P24&lt;&gt;""))</f>
        <v/>
      </c>
      <c r="G208" s="48">
        <f>SUMPRODUCT(('평가'!C17:P17&lt;&gt;"")*('평가'!C24:P24&lt;&gt;"")*('평가'!C17:P17='평가'!C24:P24))</f>
        <v/>
      </c>
      <c r="H208" s="49">
        <f>IF(F208=0,"",G208/F208)</f>
        <v/>
      </c>
      <c r="I208" s="46" t="n"/>
      <c r="J208" s="46" t="n"/>
      <c r="K208" s="46" t="n"/>
      <c r="L208" s="46" t="n"/>
      <c r="M208" s="46" t="n"/>
    </row>
    <row r="209">
      <c r="A209" t="n">
        <v>206</v>
      </c>
      <c r="B209" t="inlineStr">
        <is>
          <t>약학과</t>
        </is>
      </c>
      <c r="C209" t="inlineStr">
        <is>
          <t>간호학과</t>
        </is>
      </c>
      <c r="D209" t="n">
        <v>17</v>
      </c>
      <c r="E209" t="n">
        <v>25</v>
      </c>
      <c r="F209" s="48">
        <f>SUMPRODUCT(('평가'!C17:P17&lt;&gt;"")*('평가'!C25:P25&lt;&gt;""))</f>
        <v/>
      </c>
      <c r="G209" s="48">
        <f>SUMPRODUCT(('평가'!C17:P17&lt;&gt;"")*('평가'!C25:P25&lt;&gt;"")*('평가'!C17:P17='평가'!C25:P25))</f>
        <v/>
      </c>
      <c r="H209" s="49">
        <f>IF(F209=0,"",G209/F209)</f>
        <v/>
      </c>
      <c r="I209" s="46" t="n"/>
      <c r="J209" s="46" t="n"/>
      <c r="K209" s="46" t="n"/>
      <c r="L209" s="46" t="n"/>
      <c r="M209" s="46" t="n"/>
    </row>
    <row r="210">
      <c r="A210" t="n">
        <v>207</v>
      </c>
      <c r="B210" t="inlineStr">
        <is>
          <t>약학과</t>
        </is>
      </c>
      <c r="C210" t="inlineStr">
        <is>
          <t>전기전자공학과</t>
        </is>
      </c>
      <c r="D210" t="n">
        <v>17</v>
      </c>
      <c r="E210" t="n">
        <v>26</v>
      </c>
      <c r="F210" s="48">
        <f>SUMPRODUCT(('평가'!C17:P17&lt;&gt;"")*('평가'!C26:P26&lt;&gt;""))</f>
        <v/>
      </c>
      <c r="G210" s="48">
        <f>SUMPRODUCT(('평가'!C17:P17&lt;&gt;"")*('평가'!C26:P26&lt;&gt;"")*('평가'!C17:P17='평가'!C26:P26))</f>
        <v/>
      </c>
      <c r="H210" s="49">
        <f>IF(F210=0,"",G210/F210)</f>
        <v/>
      </c>
      <c r="I210" s="46" t="n"/>
      <c r="J210" s="46" t="n"/>
      <c r="K210" s="46" t="n"/>
      <c r="L210" s="46" t="n"/>
      <c r="M210" s="46" t="n"/>
    </row>
    <row r="211">
      <c r="A211" t="n">
        <v>208</v>
      </c>
      <c r="B211" t="inlineStr">
        <is>
          <t>약학과</t>
        </is>
      </c>
      <c r="C211" t="inlineStr">
        <is>
          <t>사학과</t>
        </is>
      </c>
      <c r="D211" t="n">
        <v>17</v>
      </c>
      <c r="E211" t="n">
        <v>27</v>
      </c>
      <c r="F211" s="48">
        <f>SUMPRODUCT(('평가'!C17:P17&lt;&gt;"")*('평가'!C27:P27&lt;&gt;""))</f>
        <v/>
      </c>
      <c r="G211" s="48">
        <f>SUMPRODUCT(('평가'!C17:P17&lt;&gt;"")*('평가'!C27:P27&lt;&gt;"")*('평가'!C17:P17='평가'!C27:P27))</f>
        <v/>
      </c>
      <c r="H211" s="49">
        <f>IF(F211=0,"",G211/F211)</f>
        <v/>
      </c>
      <c r="I211" s="46" t="n"/>
      <c r="J211" s="46" t="n"/>
      <c r="K211" s="46" t="n"/>
      <c r="L211" s="46" t="n"/>
      <c r="M211" s="46" t="n"/>
    </row>
    <row r="212">
      <c r="A212" t="n">
        <v>209</v>
      </c>
      <c r="B212" t="inlineStr">
        <is>
          <t>약학과</t>
        </is>
      </c>
      <c r="C212" t="inlineStr">
        <is>
          <t>응용통계학과</t>
        </is>
      </c>
      <c r="D212" t="n">
        <v>17</v>
      </c>
      <c r="E212" t="n">
        <v>28</v>
      </c>
      <c r="F212" s="48">
        <f>SUMPRODUCT(('평가'!C17:P17&lt;&gt;"")*('평가'!C28:P28&lt;&gt;""))</f>
        <v/>
      </c>
      <c r="G212" s="48">
        <f>SUMPRODUCT(('평가'!C17:P17&lt;&gt;"")*('평가'!C28:P28&lt;&gt;"")*('평가'!C17:P17='평가'!C28:P28))</f>
        <v/>
      </c>
      <c r="H212" s="49">
        <f>IF(F212=0,"",G212/F212)</f>
        <v/>
      </c>
      <c r="I212" s="46" t="n"/>
      <c r="J212" s="46" t="n"/>
      <c r="K212" s="46" t="n"/>
      <c r="L212" s="46" t="n"/>
      <c r="M212" s="46" t="n"/>
    </row>
    <row r="213">
      <c r="A213" t="n">
        <v>210</v>
      </c>
      <c r="B213" t="inlineStr">
        <is>
          <t>약학과</t>
        </is>
      </c>
      <c r="C213" t="inlineStr">
        <is>
          <t>컴퓨터공학과</t>
        </is>
      </c>
      <c r="D213" t="n">
        <v>17</v>
      </c>
      <c r="E213" t="n">
        <v>29</v>
      </c>
      <c r="F213" s="48">
        <f>SUMPRODUCT(('평가'!C17:P17&lt;&gt;"")*('평가'!C29:P29&lt;&gt;""))</f>
        <v/>
      </c>
      <c r="G213" s="48">
        <f>SUMPRODUCT(('평가'!C17:P17&lt;&gt;"")*('평가'!C29:P29&lt;&gt;"")*('평가'!C17:P17='평가'!C29:P29))</f>
        <v/>
      </c>
      <c r="H213" s="49">
        <f>IF(F213=0,"",G213/F213)</f>
        <v/>
      </c>
      <c r="I213" s="46" t="n"/>
      <c r="J213" s="46" t="n"/>
      <c r="K213" s="46" t="n"/>
      <c r="L213" s="46" t="n"/>
      <c r="M213" s="46" t="n"/>
    </row>
    <row r="214">
      <c r="A214" t="n">
        <v>211</v>
      </c>
      <c r="B214" t="inlineStr">
        <is>
          <t>사회학과</t>
        </is>
      </c>
      <c r="C214" t="inlineStr">
        <is>
          <t>경제학과</t>
        </is>
      </c>
      <c r="D214" t="n">
        <v>18</v>
      </c>
      <c r="E214" t="n">
        <v>19</v>
      </c>
      <c r="F214" s="48">
        <f>SUMPRODUCT(('평가'!C18:P18&lt;&gt;"")*('평가'!C19:P19&lt;&gt;""))</f>
        <v/>
      </c>
      <c r="G214" s="48">
        <f>SUMPRODUCT(('평가'!C18:P18&lt;&gt;"")*('평가'!C19:P19&lt;&gt;"")*('평가'!C18:P18='평가'!C19:P19))</f>
        <v/>
      </c>
      <c r="H214" s="49">
        <f>IF(F214=0,"",G214/F214)</f>
        <v/>
      </c>
      <c r="I214" s="46" t="n"/>
      <c r="J214" s="46" t="n"/>
      <c r="K214" s="46" t="n"/>
      <c r="L214" s="46" t="n"/>
      <c r="M214" s="46" t="n"/>
    </row>
    <row r="215">
      <c r="A215" t="n">
        <v>212</v>
      </c>
      <c r="B215" t="inlineStr">
        <is>
          <t>사회학과</t>
        </is>
      </c>
      <c r="C215" t="inlineStr">
        <is>
          <t>생명과학과</t>
        </is>
      </c>
      <c r="D215" t="n">
        <v>18</v>
      </c>
      <c r="E215" t="n">
        <v>20</v>
      </c>
      <c r="F215" s="48">
        <f>SUMPRODUCT(('평가'!C18:P18&lt;&gt;"")*('평가'!C20:P20&lt;&gt;""))</f>
        <v/>
      </c>
      <c r="G215" s="48">
        <f>SUMPRODUCT(('평가'!C18:P18&lt;&gt;"")*('평가'!C20:P20&lt;&gt;"")*('평가'!C18:P18='평가'!C20:P20))</f>
        <v/>
      </c>
      <c r="H215" s="49">
        <f>IF(F215=0,"",G215/F215)</f>
        <v/>
      </c>
      <c r="I215" s="46" t="n"/>
      <c r="J215" s="46" t="n"/>
      <c r="K215" s="46" t="n"/>
      <c r="L215" s="46" t="n"/>
      <c r="M215" s="46" t="n"/>
    </row>
    <row r="216">
      <c r="A216" t="n">
        <v>213</v>
      </c>
      <c r="B216" t="inlineStr">
        <is>
          <t>사회학과</t>
        </is>
      </c>
      <c r="C216" t="inlineStr">
        <is>
          <t>미디어커뮤니케이션학과</t>
        </is>
      </c>
      <c r="D216" t="n">
        <v>18</v>
      </c>
      <c r="E216" t="n">
        <v>21</v>
      </c>
      <c r="F216" s="48">
        <f>SUMPRODUCT(('평가'!C18:P18&lt;&gt;"")*('평가'!C21:P21&lt;&gt;""))</f>
        <v/>
      </c>
      <c r="G216" s="48">
        <f>SUMPRODUCT(('평가'!C18:P18&lt;&gt;"")*('평가'!C21:P21&lt;&gt;"")*('평가'!C18:P18='평가'!C21:P21))</f>
        <v/>
      </c>
      <c r="H216" s="49">
        <f>IF(F216=0,"",G216/F216)</f>
        <v/>
      </c>
      <c r="I216" s="46" t="n"/>
      <c r="J216" s="46" t="n"/>
      <c r="K216" s="46" t="n"/>
      <c r="L216" s="46" t="n"/>
      <c r="M216" s="46" t="n"/>
    </row>
    <row r="217">
      <c r="A217" t="n">
        <v>214</v>
      </c>
      <c r="B217" t="inlineStr">
        <is>
          <t>사회학과</t>
        </is>
      </c>
      <c r="C217" t="inlineStr">
        <is>
          <t>화학공학과</t>
        </is>
      </c>
      <c r="D217" t="n">
        <v>18</v>
      </c>
      <c r="E217" t="n">
        <v>22</v>
      </c>
      <c r="F217" s="48">
        <f>SUMPRODUCT(('평가'!C18:P18&lt;&gt;"")*('평가'!C22:P22&lt;&gt;""))</f>
        <v/>
      </c>
      <c r="G217" s="48">
        <f>SUMPRODUCT(('평가'!C18:P18&lt;&gt;"")*('평가'!C22:P22&lt;&gt;"")*('평가'!C18:P18='평가'!C22:P22))</f>
        <v/>
      </c>
      <c r="H217" s="49">
        <f>IF(F217=0,"",G217/F217)</f>
        <v/>
      </c>
      <c r="I217" s="46" t="n"/>
      <c r="J217" s="46" t="n"/>
      <c r="K217" s="46" t="n"/>
      <c r="L217" s="46" t="n"/>
      <c r="M217" s="46" t="n"/>
    </row>
    <row r="218">
      <c r="A218" t="n">
        <v>215</v>
      </c>
      <c r="B218" t="inlineStr">
        <is>
          <t>사회학과</t>
        </is>
      </c>
      <c r="C218" t="inlineStr">
        <is>
          <t>디자인학과</t>
        </is>
      </c>
      <c r="D218" t="n">
        <v>18</v>
      </c>
      <c r="E218" t="n">
        <v>23</v>
      </c>
      <c r="F218" s="48">
        <f>SUMPRODUCT(('평가'!C18:P18&lt;&gt;"")*('평가'!C23:P23&lt;&gt;""))</f>
        <v/>
      </c>
      <c r="G218" s="48">
        <f>SUMPRODUCT(('평가'!C18:P18&lt;&gt;"")*('평가'!C23:P23&lt;&gt;"")*('평가'!C18:P18='평가'!C23:P23))</f>
        <v/>
      </c>
      <c r="H218" s="49">
        <f>IF(F218=0,"",G218/F218)</f>
        <v/>
      </c>
      <c r="I218" s="46" t="n"/>
      <c r="J218" s="46" t="n"/>
      <c r="K218" s="46" t="n"/>
      <c r="L218" s="46" t="n"/>
      <c r="M218" s="46" t="n"/>
    </row>
    <row r="219">
      <c r="A219" t="n">
        <v>216</v>
      </c>
      <c r="B219" t="inlineStr">
        <is>
          <t>사회학과</t>
        </is>
      </c>
      <c r="C219" t="inlineStr">
        <is>
          <t>식품영양학과</t>
        </is>
      </c>
      <c r="D219" t="n">
        <v>18</v>
      </c>
      <c r="E219" t="n">
        <v>24</v>
      </c>
      <c r="F219" s="48">
        <f>SUMPRODUCT(('평가'!C18:P18&lt;&gt;"")*('평가'!C24:P24&lt;&gt;""))</f>
        <v/>
      </c>
      <c r="G219" s="48">
        <f>SUMPRODUCT(('평가'!C18:P18&lt;&gt;"")*('평가'!C24:P24&lt;&gt;"")*('평가'!C18:P18='평가'!C24:P24))</f>
        <v/>
      </c>
      <c r="H219" s="49">
        <f>IF(F219=0,"",G219/F219)</f>
        <v/>
      </c>
      <c r="I219" s="46" t="n"/>
      <c r="J219" s="46" t="n"/>
      <c r="K219" s="46" t="n"/>
      <c r="L219" s="46" t="n"/>
      <c r="M219" s="46" t="n"/>
    </row>
    <row r="220">
      <c r="A220" t="n">
        <v>217</v>
      </c>
      <c r="B220" t="inlineStr">
        <is>
          <t>사회학과</t>
        </is>
      </c>
      <c r="C220" t="inlineStr">
        <is>
          <t>간호학과</t>
        </is>
      </c>
      <c r="D220" t="n">
        <v>18</v>
      </c>
      <c r="E220" t="n">
        <v>25</v>
      </c>
      <c r="F220" s="48">
        <f>SUMPRODUCT(('평가'!C18:P18&lt;&gt;"")*('평가'!C25:P25&lt;&gt;""))</f>
        <v/>
      </c>
      <c r="G220" s="48">
        <f>SUMPRODUCT(('평가'!C18:P18&lt;&gt;"")*('평가'!C25:P25&lt;&gt;"")*('평가'!C18:P18='평가'!C25:P25))</f>
        <v/>
      </c>
      <c r="H220" s="49">
        <f>IF(F220=0,"",G220/F220)</f>
        <v/>
      </c>
      <c r="I220" s="46" t="n"/>
      <c r="J220" s="46" t="n"/>
      <c r="K220" s="46" t="n"/>
      <c r="L220" s="46" t="n"/>
      <c r="M220" s="46" t="n"/>
    </row>
    <row r="221">
      <c r="A221" t="n">
        <v>218</v>
      </c>
      <c r="B221" t="inlineStr">
        <is>
          <t>사회학과</t>
        </is>
      </c>
      <c r="C221" t="inlineStr">
        <is>
          <t>전기전자공학과</t>
        </is>
      </c>
      <c r="D221" t="n">
        <v>18</v>
      </c>
      <c r="E221" t="n">
        <v>26</v>
      </c>
      <c r="F221" s="48">
        <f>SUMPRODUCT(('평가'!C18:P18&lt;&gt;"")*('평가'!C26:P26&lt;&gt;""))</f>
        <v/>
      </c>
      <c r="G221" s="48">
        <f>SUMPRODUCT(('평가'!C18:P18&lt;&gt;"")*('평가'!C26:P26&lt;&gt;"")*('평가'!C18:P18='평가'!C26:P26))</f>
        <v/>
      </c>
      <c r="H221" s="49">
        <f>IF(F221=0,"",G221/F221)</f>
        <v/>
      </c>
      <c r="I221" s="46" t="n"/>
      <c r="J221" s="46" t="n"/>
      <c r="K221" s="46" t="n"/>
      <c r="L221" s="46" t="n"/>
      <c r="M221" s="46" t="n"/>
    </row>
    <row r="222">
      <c r="A222" t="n">
        <v>219</v>
      </c>
      <c r="B222" t="inlineStr">
        <is>
          <t>사회학과</t>
        </is>
      </c>
      <c r="C222" t="inlineStr">
        <is>
          <t>사학과</t>
        </is>
      </c>
      <c r="D222" t="n">
        <v>18</v>
      </c>
      <c r="E222" t="n">
        <v>27</v>
      </c>
      <c r="F222" s="48">
        <f>SUMPRODUCT(('평가'!C18:P18&lt;&gt;"")*('평가'!C27:P27&lt;&gt;""))</f>
        <v/>
      </c>
      <c r="G222" s="48">
        <f>SUMPRODUCT(('평가'!C18:P18&lt;&gt;"")*('평가'!C27:P27&lt;&gt;"")*('평가'!C18:P18='평가'!C27:P27))</f>
        <v/>
      </c>
      <c r="H222" s="49">
        <f>IF(F222=0,"",G222/F222)</f>
        <v/>
      </c>
      <c r="I222" s="46" t="n"/>
      <c r="J222" s="46" t="n"/>
      <c r="K222" s="46" t="n"/>
      <c r="L222" s="46" t="n"/>
      <c r="M222" s="46" t="n"/>
    </row>
    <row r="223">
      <c r="A223" t="n">
        <v>220</v>
      </c>
      <c r="B223" t="inlineStr">
        <is>
          <t>사회학과</t>
        </is>
      </c>
      <c r="C223" t="inlineStr">
        <is>
          <t>응용통계학과</t>
        </is>
      </c>
      <c r="D223" t="n">
        <v>18</v>
      </c>
      <c r="E223" t="n">
        <v>28</v>
      </c>
      <c r="F223" s="48">
        <f>SUMPRODUCT(('평가'!C18:P18&lt;&gt;"")*('평가'!C28:P28&lt;&gt;""))</f>
        <v/>
      </c>
      <c r="G223" s="48">
        <f>SUMPRODUCT(('평가'!C18:P18&lt;&gt;"")*('평가'!C28:P28&lt;&gt;"")*('평가'!C18:P18='평가'!C28:P28))</f>
        <v/>
      </c>
      <c r="H223" s="49">
        <f>IF(F223=0,"",G223/F223)</f>
        <v/>
      </c>
      <c r="I223" s="46" t="n"/>
      <c r="J223" s="46" t="n"/>
      <c r="K223" s="46" t="n"/>
      <c r="L223" s="46" t="n"/>
      <c r="M223" s="46" t="n"/>
    </row>
    <row r="224">
      <c r="A224" t="n">
        <v>221</v>
      </c>
      <c r="B224" t="inlineStr">
        <is>
          <t>사회학과</t>
        </is>
      </c>
      <c r="C224" t="inlineStr">
        <is>
          <t>컴퓨터공학과</t>
        </is>
      </c>
      <c r="D224" t="n">
        <v>18</v>
      </c>
      <c r="E224" t="n">
        <v>29</v>
      </c>
      <c r="F224" s="48">
        <f>SUMPRODUCT(('평가'!C18:P18&lt;&gt;"")*('평가'!C29:P29&lt;&gt;""))</f>
        <v/>
      </c>
      <c r="G224" s="48">
        <f>SUMPRODUCT(('평가'!C18:P18&lt;&gt;"")*('평가'!C29:P29&lt;&gt;"")*('평가'!C18:P18='평가'!C29:P29))</f>
        <v/>
      </c>
      <c r="H224" s="49">
        <f>IF(F224=0,"",G224/F224)</f>
        <v/>
      </c>
      <c r="I224" s="46" t="n"/>
      <c r="J224" s="46" t="n"/>
      <c r="K224" s="46" t="n"/>
      <c r="L224" s="46" t="n"/>
      <c r="M224" s="46" t="n"/>
    </row>
    <row r="225">
      <c r="A225" t="n">
        <v>222</v>
      </c>
      <c r="B225" t="inlineStr">
        <is>
          <t>경제학과</t>
        </is>
      </c>
      <c r="C225" t="inlineStr">
        <is>
          <t>생명과학과</t>
        </is>
      </c>
      <c r="D225" t="n">
        <v>19</v>
      </c>
      <c r="E225" t="n">
        <v>20</v>
      </c>
      <c r="F225" s="48">
        <f>SUMPRODUCT(('평가'!C19:P19&lt;&gt;"")*('평가'!C20:P20&lt;&gt;""))</f>
        <v/>
      </c>
      <c r="G225" s="48">
        <f>SUMPRODUCT(('평가'!C19:P19&lt;&gt;"")*('평가'!C20:P20&lt;&gt;"")*('평가'!C19:P19='평가'!C20:P20))</f>
        <v/>
      </c>
      <c r="H225" s="49">
        <f>IF(F225=0,"",G225/F225)</f>
        <v/>
      </c>
      <c r="I225" s="46" t="n"/>
      <c r="J225" s="46" t="n"/>
      <c r="K225" s="46" t="n"/>
      <c r="L225" s="46" t="n"/>
      <c r="M225" s="46" t="n"/>
    </row>
    <row r="226">
      <c r="A226" t="n">
        <v>223</v>
      </c>
      <c r="B226" t="inlineStr">
        <is>
          <t>경제학과</t>
        </is>
      </c>
      <c r="C226" t="inlineStr">
        <is>
          <t>미디어커뮤니케이션학과</t>
        </is>
      </c>
      <c r="D226" t="n">
        <v>19</v>
      </c>
      <c r="E226" t="n">
        <v>21</v>
      </c>
      <c r="F226" s="48">
        <f>SUMPRODUCT(('평가'!C19:P19&lt;&gt;"")*('평가'!C21:P21&lt;&gt;""))</f>
        <v/>
      </c>
      <c r="G226" s="48">
        <f>SUMPRODUCT(('평가'!C19:P19&lt;&gt;"")*('평가'!C21:P21&lt;&gt;"")*('평가'!C19:P19='평가'!C21:P21))</f>
        <v/>
      </c>
      <c r="H226" s="49">
        <f>IF(F226=0,"",G226/F226)</f>
        <v/>
      </c>
      <c r="I226" s="46" t="n"/>
      <c r="J226" s="46" t="n"/>
      <c r="K226" s="46" t="n"/>
      <c r="L226" s="46" t="n"/>
      <c r="M226" s="46" t="n"/>
    </row>
    <row r="227">
      <c r="A227" t="n">
        <v>224</v>
      </c>
      <c r="B227" t="inlineStr">
        <is>
          <t>경제학과</t>
        </is>
      </c>
      <c r="C227" t="inlineStr">
        <is>
          <t>화학공학과</t>
        </is>
      </c>
      <c r="D227" t="n">
        <v>19</v>
      </c>
      <c r="E227" t="n">
        <v>22</v>
      </c>
      <c r="F227" s="48">
        <f>SUMPRODUCT(('평가'!C19:P19&lt;&gt;"")*('평가'!C22:P22&lt;&gt;""))</f>
        <v/>
      </c>
      <c r="G227" s="48">
        <f>SUMPRODUCT(('평가'!C19:P19&lt;&gt;"")*('평가'!C22:P22&lt;&gt;"")*('평가'!C19:P19='평가'!C22:P22))</f>
        <v/>
      </c>
      <c r="H227" s="49">
        <f>IF(F227=0,"",G227/F227)</f>
        <v/>
      </c>
      <c r="I227" s="46" t="n"/>
      <c r="J227" s="46" t="n"/>
      <c r="K227" s="46" t="n"/>
      <c r="L227" s="46" t="n"/>
      <c r="M227" s="46" t="n"/>
    </row>
    <row r="228">
      <c r="A228" t="n">
        <v>225</v>
      </c>
      <c r="B228" t="inlineStr">
        <is>
          <t>경제학과</t>
        </is>
      </c>
      <c r="C228" t="inlineStr">
        <is>
          <t>디자인학과</t>
        </is>
      </c>
      <c r="D228" t="n">
        <v>19</v>
      </c>
      <c r="E228" t="n">
        <v>23</v>
      </c>
      <c r="F228" s="48">
        <f>SUMPRODUCT(('평가'!C19:P19&lt;&gt;"")*('평가'!C23:P23&lt;&gt;""))</f>
        <v/>
      </c>
      <c r="G228" s="48">
        <f>SUMPRODUCT(('평가'!C19:P19&lt;&gt;"")*('평가'!C23:P23&lt;&gt;"")*('평가'!C19:P19='평가'!C23:P23))</f>
        <v/>
      </c>
      <c r="H228" s="49">
        <f>IF(F228=0,"",G228/F228)</f>
        <v/>
      </c>
      <c r="I228" s="46" t="n"/>
      <c r="J228" s="46" t="n"/>
      <c r="K228" s="46" t="n"/>
      <c r="L228" s="46" t="n"/>
      <c r="M228" s="46" t="n"/>
    </row>
    <row r="229">
      <c r="A229" t="n">
        <v>226</v>
      </c>
      <c r="B229" t="inlineStr">
        <is>
          <t>경제학과</t>
        </is>
      </c>
      <c r="C229" t="inlineStr">
        <is>
          <t>식품영양학과</t>
        </is>
      </c>
      <c r="D229" t="n">
        <v>19</v>
      </c>
      <c r="E229" t="n">
        <v>24</v>
      </c>
      <c r="F229" s="48">
        <f>SUMPRODUCT(('평가'!C19:P19&lt;&gt;"")*('평가'!C24:P24&lt;&gt;""))</f>
        <v/>
      </c>
      <c r="G229" s="48">
        <f>SUMPRODUCT(('평가'!C19:P19&lt;&gt;"")*('평가'!C24:P24&lt;&gt;"")*('평가'!C19:P19='평가'!C24:P24))</f>
        <v/>
      </c>
      <c r="H229" s="49">
        <f>IF(F229=0,"",G229/F229)</f>
        <v/>
      </c>
      <c r="I229" s="46" t="n"/>
      <c r="J229" s="46" t="n"/>
      <c r="K229" s="46" t="n"/>
      <c r="L229" s="46" t="n"/>
      <c r="M229" s="46" t="n"/>
    </row>
    <row r="230">
      <c r="A230" t="n">
        <v>227</v>
      </c>
      <c r="B230" t="inlineStr">
        <is>
          <t>경제학과</t>
        </is>
      </c>
      <c r="C230" t="inlineStr">
        <is>
          <t>간호학과</t>
        </is>
      </c>
      <c r="D230" t="n">
        <v>19</v>
      </c>
      <c r="E230" t="n">
        <v>25</v>
      </c>
      <c r="F230" s="48">
        <f>SUMPRODUCT(('평가'!C19:P19&lt;&gt;"")*('평가'!C25:P25&lt;&gt;""))</f>
        <v/>
      </c>
      <c r="G230" s="48">
        <f>SUMPRODUCT(('평가'!C19:P19&lt;&gt;"")*('평가'!C25:P25&lt;&gt;"")*('평가'!C19:P19='평가'!C25:P25))</f>
        <v/>
      </c>
      <c r="H230" s="49">
        <f>IF(F230=0,"",G230/F230)</f>
        <v/>
      </c>
      <c r="I230" s="46" t="n"/>
      <c r="J230" s="46" t="n"/>
      <c r="K230" s="46" t="n"/>
      <c r="L230" s="46" t="n"/>
      <c r="M230" s="46" t="n"/>
    </row>
    <row r="231">
      <c r="A231" t="n">
        <v>228</v>
      </c>
      <c r="B231" t="inlineStr">
        <is>
          <t>경제학과</t>
        </is>
      </c>
      <c r="C231" t="inlineStr">
        <is>
          <t>전기전자공학과</t>
        </is>
      </c>
      <c r="D231" t="n">
        <v>19</v>
      </c>
      <c r="E231" t="n">
        <v>26</v>
      </c>
      <c r="F231" s="48">
        <f>SUMPRODUCT(('평가'!C19:P19&lt;&gt;"")*('평가'!C26:P26&lt;&gt;""))</f>
        <v/>
      </c>
      <c r="G231" s="48">
        <f>SUMPRODUCT(('평가'!C19:P19&lt;&gt;"")*('평가'!C26:P26&lt;&gt;"")*('평가'!C19:P19='평가'!C26:P26))</f>
        <v/>
      </c>
      <c r="H231" s="49">
        <f>IF(F231=0,"",G231/F231)</f>
        <v/>
      </c>
      <c r="I231" s="46" t="n"/>
      <c r="J231" s="46" t="n"/>
      <c r="K231" s="46" t="n"/>
      <c r="L231" s="46" t="n"/>
      <c r="M231" s="46" t="n"/>
    </row>
    <row r="232">
      <c r="A232" t="n">
        <v>229</v>
      </c>
      <c r="B232" t="inlineStr">
        <is>
          <t>경제학과</t>
        </is>
      </c>
      <c r="C232" t="inlineStr">
        <is>
          <t>사학과</t>
        </is>
      </c>
      <c r="D232" t="n">
        <v>19</v>
      </c>
      <c r="E232" t="n">
        <v>27</v>
      </c>
      <c r="F232" s="48">
        <f>SUMPRODUCT(('평가'!C19:P19&lt;&gt;"")*('평가'!C27:P27&lt;&gt;""))</f>
        <v/>
      </c>
      <c r="G232" s="48">
        <f>SUMPRODUCT(('평가'!C19:P19&lt;&gt;"")*('평가'!C27:P27&lt;&gt;"")*('평가'!C19:P19='평가'!C27:P27))</f>
        <v/>
      </c>
      <c r="H232" s="49">
        <f>IF(F232=0,"",G232/F232)</f>
        <v/>
      </c>
      <c r="I232" s="46" t="n"/>
      <c r="J232" s="46" t="n"/>
      <c r="K232" s="46" t="n"/>
      <c r="L232" s="46" t="n"/>
      <c r="M232" s="46" t="n"/>
    </row>
    <row r="233">
      <c r="A233" t="n">
        <v>230</v>
      </c>
      <c r="B233" t="inlineStr">
        <is>
          <t>경제학과</t>
        </is>
      </c>
      <c r="C233" t="inlineStr">
        <is>
          <t>응용통계학과</t>
        </is>
      </c>
      <c r="D233" t="n">
        <v>19</v>
      </c>
      <c r="E233" t="n">
        <v>28</v>
      </c>
      <c r="F233" s="48">
        <f>SUMPRODUCT(('평가'!C19:P19&lt;&gt;"")*('평가'!C28:P28&lt;&gt;""))</f>
        <v/>
      </c>
      <c r="G233" s="48">
        <f>SUMPRODUCT(('평가'!C19:P19&lt;&gt;"")*('평가'!C28:P28&lt;&gt;"")*('평가'!C19:P19='평가'!C28:P28))</f>
        <v/>
      </c>
      <c r="H233" s="49">
        <f>IF(F233=0,"",G233/F233)</f>
        <v/>
      </c>
      <c r="I233" s="46" t="n"/>
      <c r="J233" s="46" t="n"/>
      <c r="K233" s="46" t="n"/>
      <c r="L233" s="46" t="n"/>
      <c r="M233" s="46" t="n"/>
    </row>
    <row r="234">
      <c r="A234" t="n">
        <v>231</v>
      </c>
      <c r="B234" t="inlineStr">
        <is>
          <t>경제학과</t>
        </is>
      </c>
      <c r="C234" t="inlineStr">
        <is>
          <t>컴퓨터공학과</t>
        </is>
      </c>
      <c r="D234" t="n">
        <v>19</v>
      </c>
      <c r="E234" t="n">
        <v>29</v>
      </c>
      <c r="F234" s="48">
        <f>SUMPRODUCT(('평가'!C19:P19&lt;&gt;"")*('평가'!C29:P29&lt;&gt;""))</f>
        <v/>
      </c>
      <c r="G234" s="48">
        <f>SUMPRODUCT(('평가'!C19:P19&lt;&gt;"")*('평가'!C29:P29&lt;&gt;"")*('평가'!C19:P19='평가'!C29:P29))</f>
        <v/>
      </c>
      <c r="H234" s="49">
        <f>IF(F234=0,"",G234/F234)</f>
        <v/>
      </c>
      <c r="I234" s="46" t="n"/>
      <c r="J234" s="46" t="n"/>
      <c r="K234" s="46" t="n"/>
      <c r="L234" s="46" t="n"/>
      <c r="M234" s="46" t="n"/>
    </row>
    <row r="235">
      <c r="A235" t="n">
        <v>232</v>
      </c>
      <c r="B235" t="inlineStr">
        <is>
          <t>생명과학과</t>
        </is>
      </c>
      <c r="C235" t="inlineStr">
        <is>
          <t>미디어커뮤니케이션학과</t>
        </is>
      </c>
      <c r="D235" t="n">
        <v>20</v>
      </c>
      <c r="E235" t="n">
        <v>21</v>
      </c>
      <c r="F235" s="48">
        <f>SUMPRODUCT(('평가'!C20:P20&lt;&gt;"")*('평가'!C21:P21&lt;&gt;""))</f>
        <v/>
      </c>
      <c r="G235" s="48">
        <f>SUMPRODUCT(('평가'!C20:P20&lt;&gt;"")*('평가'!C21:P21&lt;&gt;"")*('평가'!C20:P20='평가'!C21:P21))</f>
        <v/>
      </c>
      <c r="H235" s="49">
        <f>IF(F235=0,"",G235/F235)</f>
        <v/>
      </c>
      <c r="I235" s="46" t="n"/>
      <c r="J235" s="46" t="n"/>
      <c r="K235" s="46" t="n"/>
      <c r="L235" s="46" t="n"/>
      <c r="M235" s="46" t="n"/>
    </row>
    <row r="236">
      <c r="A236" t="n">
        <v>233</v>
      </c>
      <c r="B236" t="inlineStr">
        <is>
          <t>생명과학과</t>
        </is>
      </c>
      <c r="C236" t="inlineStr">
        <is>
          <t>화학공학과</t>
        </is>
      </c>
      <c r="D236" t="n">
        <v>20</v>
      </c>
      <c r="E236" t="n">
        <v>22</v>
      </c>
      <c r="F236" s="48">
        <f>SUMPRODUCT(('평가'!C20:P20&lt;&gt;"")*('평가'!C22:P22&lt;&gt;""))</f>
        <v/>
      </c>
      <c r="G236" s="48">
        <f>SUMPRODUCT(('평가'!C20:P20&lt;&gt;"")*('평가'!C22:P22&lt;&gt;"")*('평가'!C20:P20='평가'!C22:P22))</f>
        <v/>
      </c>
      <c r="H236" s="49">
        <f>IF(F236=0,"",G236/F236)</f>
        <v/>
      </c>
      <c r="I236" s="46" t="n"/>
      <c r="J236" s="46" t="n"/>
      <c r="K236" s="46" t="n"/>
      <c r="L236" s="46" t="n"/>
      <c r="M236" s="46" t="n"/>
    </row>
    <row r="237">
      <c r="A237" t="n">
        <v>234</v>
      </c>
      <c r="B237" t="inlineStr">
        <is>
          <t>생명과학과</t>
        </is>
      </c>
      <c r="C237" t="inlineStr">
        <is>
          <t>디자인학과</t>
        </is>
      </c>
      <c r="D237" t="n">
        <v>20</v>
      </c>
      <c r="E237" t="n">
        <v>23</v>
      </c>
      <c r="F237" s="48">
        <f>SUMPRODUCT(('평가'!C20:P20&lt;&gt;"")*('평가'!C23:P23&lt;&gt;""))</f>
        <v/>
      </c>
      <c r="G237" s="48">
        <f>SUMPRODUCT(('평가'!C20:P20&lt;&gt;"")*('평가'!C23:P23&lt;&gt;"")*('평가'!C20:P20='평가'!C23:P23))</f>
        <v/>
      </c>
      <c r="H237" s="49">
        <f>IF(F237=0,"",G237/F237)</f>
        <v/>
      </c>
      <c r="I237" s="46" t="n"/>
      <c r="J237" s="46" t="n"/>
      <c r="K237" s="46" t="n"/>
      <c r="L237" s="46" t="n"/>
      <c r="M237" s="46" t="n"/>
    </row>
    <row r="238">
      <c r="A238" t="n">
        <v>235</v>
      </c>
      <c r="B238" t="inlineStr">
        <is>
          <t>생명과학과</t>
        </is>
      </c>
      <c r="C238" t="inlineStr">
        <is>
          <t>식품영양학과</t>
        </is>
      </c>
      <c r="D238" t="n">
        <v>20</v>
      </c>
      <c r="E238" t="n">
        <v>24</v>
      </c>
      <c r="F238" s="48">
        <f>SUMPRODUCT(('평가'!C20:P20&lt;&gt;"")*('평가'!C24:P24&lt;&gt;""))</f>
        <v/>
      </c>
      <c r="G238" s="48">
        <f>SUMPRODUCT(('평가'!C20:P20&lt;&gt;"")*('평가'!C24:P24&lt;&gt;"")*('평가'!C20:P20='평가'!C24:P24))</f>
        <v/>
      </c>
      <c r="H238" s="49">
        <f>IF(F238=0,"",G238/F238)</f>
        <v/>
      </c>
      <c r="I238" s="46" t="n"/>
      <c r="J238" s="46" t="n"/>
      <c r="K238" s="46" t="n"/>
      <c r="L238" s="46" t="n"/>
      <c r="M238" s="46" t="n"/>
    </row>
    <row r="239">
      <c r="A239" t="n">
        <v>236</v>
      </c>
      <c r="B239" t="inlineStr">
        <is>
          <t>생명과학과</t>
        </is>
      </c>
      <c r="C239" t="inlineStr">
        <is>
          <t>간호학과</t>
        </is>
      </c>
      <c r="D239" t="n">
        <v>20</v>
      </c>
      <c r="E239" t="n">
        <v>25</v>
      </c>
      <c r="F239" s="48">
        <f>SUMPRODUCT(('평가'!C20:P20&lt;&gt;"")*('평가'!C25:P25&lt;&gt;""))</f>
        <v/>
      </c>
      <c r="G239" s="48">
        <f>SUMPRODUCT(('평가'!C20:P20&lt;&gt;"")*('평가'!C25:P25&lt;&gt;"")*('평가'!C20:P20='평가'!C25:P25))</f>
        <v/>
      </c>
      <c r="H239" s="49">
        <f>IF(F239=0,"",G239/F239)</f>
        <v/>
      </c>
      <c r="I239" s="46" t="n"/>
      <c r="J239" s="46" t="n"/>
      <c r="K239" s="46" t="n"/>
      <c r="L239" s="46" t="n"/>
      <c r="M239" s="46" t="n"/>
    </row>
    <row r="240">
      <c r="A240" t="n">
        <v>237</v>
      </c>
      <c r="B240" t="inlineStr">
        <is>
          <t>생명과학과</t>
        </is>
      </c>
      <c r="C240" t="inlineStr">
        <is>
          <t>전기전자공학과</t>
        </is>
      </c>
      <c r="D240" t="n">
        <v>20</v>
      </c>
      <c r="E240" t="n">
        <v>26</v>
      </c>
      <c r="F240" s="48">
        <f>SUMPRODUCT(('평가'!C20:P20&lt;&gt;"")*('평가'!C26:P26&lt;&gt;""))</f>
        <v/>
      </c>
      <c r="G240" s="48">
        <f>SUMPRODUCT(('평가'!C20:P20&lt;&gt;"")*('평가'!C26:P26&lt;&gt;"")*('평가'!C20:P20='평가'!C26:P26))</f>
        <v/>
      </c>
      <c r="H240" s="49">
        <f>IF(F240=0,"",G240/F240)</f>
        <v/>
      </c>
      <c r="I240" s="46" t="n"/>
      <c r="J240" s="46" t="n"/>
      <c r="K240" s="46" t="n"/>
      <c r="L240" s="46" t="n"/>
      <c r="M240" s="46" t="n"/>
    </row>
    <row r="241">
      <c r="A241" t="n">
        <v>238</v>
      </c>
      <c r="B241" t="inlineStr">
        <is>
          <t>생명과학과</t>
        </is>
      </c>
      <c r="C241" t="inlineStr">
        <is>
          <t>사학과</t>
        </is>
      </c>
      <c r="D241" t="n">
        <v>20</v>
      </c>
      <c r="E241" t="n">
        <v>27</v>
      </c>
      <c r="F241" s="48">
        <f>SUMPRODUCT(('평가'!C20:P20&lt;&gt;"")*('평가'!C27:P27&lt;&gt;""))</f>
        <v/>
      </c>
      <c r="G241" s="48">
        <f>SUMPRODUCT(('평가'!C20:P20&lt;&gt;"")*('평가'!C27:P27&lt;&gt;"")*('평가'!C20:P20='평가'!C27:P27))</f>
        <v/>
      </c>
      <c r="H241" s="49">
        <f>IF(F241=0,"",G241/F241)</f>
        <v/>
      </c>
      <c r="I241" s="46" t="n"/>
      <c r="J241" s="46" t="n"/>
      <c r="K241" s="46" t="n"/>
      <c r="L241" s="46" t="n"/>
      <c r="M241" s="46" t="n"/>
    </row>
    <row r="242">
      <c r="A242" t="n">
        <v>239</v>
      </c>
      <c r="B242" t="inlineStr">
        <is>
          <t>생명과학과</t>
        </is>
      </c>
      <c r="C242" t="inlineStr">
        <is>
          <t>응용통계학과</t>
        </is>
      </c>
      <c r="D242" t="n">
        <v>20</v>
      </c>
      <c r="E242" t="n">
        <v>28</v>
      </c>
      <c r="F242" s="48">
        <f>SUMPRODUCT(('평가'!C20:P20&lt;&gt;"")*('평가'!C28:P28&lt;&gt;""))</f>
        <v/>
      </c>
      <c r="G242" s="48">
        <f>SUMPRODUCT(('평가'!C20:P20&lt;&gt;"")*('평가'!C28:P28&lt;&gt;"")*('평가'!C20:P20='평가'!C28:P28))</f>
        <v/>
      </c>
      <c r="H242" s="49">
        <f>IF(F242=0,"",G242/F242)</f>
        <v/>
      </c>
      <c r="I242" s="46" t="n"/>
      <c r="J242" s="46" t="n"/>
      <c r="K242" s="46" t="n"/>
      <c r="L242" s="46" t="n"/>
      <c r="M242" s="46" t="n"/>
    </row>
    <row r="243">
      <c r="A243" t="n">
        <v>240</v>
      </c>
      <c r="B243" t="inlineStr">
        <is>
          <t>생명과학과</t>
        </is>
      </c>
      <c r="C243" t="inlineStr">
        <is>
          <t>컴퓨터공학과</t>
        </is>
      </c>
      <c r="D243" t="n">
        <v>20</v>
      </c>
      <c r="E243" t="n">
        <v>29</v>
      </c>
      <c r="F243" s="48">
        <f>SUMPRODUCT(('평가'!C20:P20&lt;&gt;"")*('평가'!C29:P29&lt;&gt;""))</f>
        <v/>
      </c>
      <c r="G243" s="48">
        <f>SUMPRODUCT(('평가'!C20:P20&lt;&gt;"")*('평가'!C29:P29&lt;&gt;"")*('평가'!C20:P20='평가'!C29:P29))</f>
        <v/>
      </c>
      <c r="H243" s="49">
        <f>IF(F243=0,"",G243/F243)</f>
        <v/>
      </c>
      <c r="I243" s="46" t="n"/>
      <c r="J243" s="46" t="n"/>
      <c r="K243" s="46" t="n"/>
      <c r="L243" s="46" t="n"/>
      <c r="M243" s="46" t="n"/>
    </row>
    <row r="244">
      <c r="A244" t="n">
        <v>241</v>
      </c>
      <c r="B244" t="inlineStr">
        <is>
          <t>미디어커뮤니케이션학과</t>
        </is>
      </c>
      <c r="C244" t="inlineStr">
        <is>
          <t>화학공학과</t>
        </is>
      </c>
      <c r="D244" t="n">
        <v>21</v>
      </c>
      <c r="E244" t="n">
        <v>22</v>
      </c>
      <c r="F244" s="48">
        <f>SUMPRODUCT(('평가'!C21:P21&lt;&gt;"")*('평가'!C22:P22&lt;&gt;""))</f>
        <v/>
      </c>
      <c r="G244" s="48">
        <f>SUMPRODUCT(('평가'!C21:P21&lt;&gt;"")*('평가'!C22:P22&lt;&gt;"")*('평가'!C21:P21='평가'!C22:P22))</f>
        <v/>
      </c>
      <c r="H244" s="49">
        <f>IF(F244=0,"",G244/F244)</f>
        <v/>
      </c>
      <c r="I244" s="46" t="n"/>
      <c r="J244" s="46" t="n"/>
      <c r="K244" s="46" t="n"/>
      <c r="L244" s="46" t="n"/>
      <c r="M244" s="46" t="n"/>
    </row>
    <row r="245">
      <c r="A245" t="n">
        <v>242</v>
      </c>
      <c r="B245" t="inlineStr">
        <is>
          <t>미디어커뮤니케이션학과</t>
        </is>
      </c>
      <c r="C245" t="inlineStr">
        <is>
          <t>디자인학과</t>
        </is>
      </c>
      <c r="D245" t="n">
        <v>21</v>
      </c>
      <c r="E245" t="n">
        <v>23</v>
      </c>
      <c r="F245" s="48">
        <f>SUMPRODUCT(('평가'!C21:P21&lt;&gt;"")*('평가'!C23:P23&lt;&gt;""))</f>
        <v/>
      </c>
      <c r="G245" s="48">
        <f>SUMPRODUCT(('평가'!C21:P21&lt;&gt;"")*('평가'!C23:P23&lt;&gt;"")*('평가'!C21:P21='평가'!C23:P23))</f>
        <v/>
      </c>
      <c r="H245" s="49">
        <f>IF(F245=0,"",G245/F245)</f>
        <v/>
      </c>
      <c r="I245" s="46" t="n"/>
      <c r="J245" s="46" t="n"/>
      <c r="K245" s="46" t="n"/>
      <c r="L245" s="46" t="n"/>
      <c r="M245" s="46" t="n"/>
    </row>
    <row r="246">
      <c r="A246" t="n">
        <v>243</v>
      </c>
      <c r="B246" t="inlineStr">
        <is>
          <t>미디어커뮤니케이션학과</t>
        </is>
      </c>
      <c r="C246" t="inlineStr">
        <is>
          <t>식품영양학과</t>
        </is>
      </c>
      <c r="D246" t="n">
        <v>21</v>
      </c>
      <c r="E246" t="n">
        <v>24</v>
      </c>
      <c r="F246" s="48">
        <f>SUMPRODUCT(('평가'!C21:P21&lt;&gt;"")*('평가'!C24:P24&lt;&gt;""))</f>
        <v/>
      </c>
      <c r="G246" s="48">
        <f>SUMPRODUCT(('평가'!C21:P21&lt;&gt;"")*('평가'!C24:P24&lt;&gt;"")*('평가'!C21:P21='평가'!C24:P24))</f>
        <v/>
      </c>
      <c r="H246" s="49">
        <f>IF(F246=0,"",G246/F246)</f>
        <v/>
      </c>
      <c r="I246" s="46" t="n"/>
      <c r="J246" s="46" t="n"/>
      <c r="K246" s="46" t="n"/>
      <c r="L246" s="46" t="n"/>
      <c r="M246" s="46" t="n"/>
    </row>
    <row r="247">
      <c r="A247" t="n">
        <v>244</v>
      </c>
      <c r="B247" t="inlineStr">
        <is>
          <t>미디어커뮤니케이션학과</t>
        </is>
      </c>
      <c r="C247" t="inlineStr">
        <is>
          <t>간호학과</t>
        </is>
      </c>
      <c r="D247" t="n">
        <v>21</v>
      </c>
      <c r="E247" t="n">
        <v>25</v>
      </c>
      <c r="F247" s="48">
        <f>SUMPRODUCT(('평가'!C21:P21&lt;&gt;"")*('평가'!C25:P25&lt;&gt;""))</f>
        <v/>
      </c>
      <c r="G247" s="48">
        <f>SUMPRODUCT(('평가'!C21:P21&lt;&gt;"")*('평가'!C25:P25&lt;&gt;"")*('평가'!C21:P21='평가'!C25:P25))</f>
        <v/>
      </c>
      <c r="H247" s="49">
        <f>IF(F247=0,"",G247/F247)</f>
        <v/>
      </c>
      <c r="I247" s="46" t="n"/>
      <c r="J247" s="46" t="n"/>
      <c r="K247" s="46" t="n"/>
      <c r="L247" s="46" t="n"/>
      <c r="M247" s="46" t="n"/>
    </row>
    <row r="248">
      <c r="A248" t="n">
        <v>245</v>
      </c>
      <c r="B248" t="inlineStr">
        <is>
          <t>미디어커뮤니케이션학과</t>
        </is>
      </c>
      <c r="C248" t="inlineStr">
        <is>
          <t>전기전자공학과</t>
        </is>
      </c>
      <c r="D248" t="n">
        <v>21</v>
      </c>
      <c r="E248" t="n">
        <v>26</v>
      </c>
      <c r="F248" s="48">
        <f>SUMPRODUCT(('평가'!C21:P21&lt;&gt;"")*('평가'!C26:P26&lt;&gt;""))</f>
        <v/>
      </c>
      <c r="G248" s="48">
        <f>SUMPRODUCT(('평가'!C21:P21&lt;&gt;"")*('평가'!C26:P26&lt;&gt;"")*('평가'!C21:P21='평가'!C26:P26))</f>
        <v/>
      </c>
      <c r="H248" s="49">
        <f>IF(F248=0,"",G248/F248)</f>
        <v/>
      </c>
      <c r="I248" s="46" t="n"/>
      <c r="J248" s="46" t="n"/>
      <c r="K248" s="46" t="n"/>
      <c r="L248" s="46" t="n"/>
      <c r="M248" s="46" t="n"/>
    </row>
    <row r="249">
      <c r="A249" t="n">
        <v>246</v>
      </c>
      <c r="B249" t="inlineStr">
        <is>
          <t>미디어커뮤니케이션학과</t>
        </is>
      </c>
      <c r="C249" t="inlineStr">
        <is>
          <t>사학과</t>
        </is>
      </c>
      <c r="D249" t="n">
        <v>21</v>
      </c>
      <c r="E249" t="n">
        <v>27</v>
      </c>
      <c r="F249" s="48">
        <f>SUMPRODUCT(('평가'!C21:P21&lt;&gt;"")*('평가'!C27:P27&lt;&gt;""))</f>
        <v/>
      </c>
      <c r="G249" s="48">
        <f>SUMPRODUCT(('평가'!C21:P21&lt;&gt;"")*('평가'!C27:P27&lt;&gt;"")*('평가'!C21:P21='평가'!C27:P27))</f>
        <v/>
      </c>
      <c r="H249" s="49">
        <f>IF(F249=0,"",G249/F249)</f>
        <v/>
      </c>
      <c r="I249" s="46" t="n"/>
      <c r="J249" s="46" t="n"/>
      <c r="K249" s="46" t="n"/>
      <c r="L249" s="46" t="n"/>
      <c r="M249" s="46" t="n"/>
    </row>
    <row r="250">
      <c r="A250" t="n">
        <v>247</v>
      </c>
      <c r="B250" t="inlineStr">
        <is>
          <t>미디어커뮤니케이션학과</t>
        </is>
      </c>
      <c r="C250" t="inlineStr">
        <is>
          <t>응용통계학과</t>
        </is>
      </c>
      <c r="D250" t="n">
        <v>21</v>
      </c>
      <c r="E250" t="n">
        <v>28</v>
      </c>
      <c r="F250" s="48">
        <f>SUMPRODUCT(('평가'!C21:P21&lt;&gt;"")*('평가'!C28:P28&lt;&gt;""))</f>
        <v/>
      </c>
      <c r="G250" s="48">
        <f>SUMPRODUCT(('평가'!C21:P21&lt;&gt;"")*('평가'!C28:P28&lt;&gt;"")*('평가'!C21:P21='평가'!C28:P28))</f>
        <v/>
      </c>
      <c r="H250" s="49">
        <f>IF(F250=0,"",G250/F250)</f>
        <v/>
      </c>
      <c r="I250" s="46" t="n"/>
      <c r="J250" s="46" t="n"/>
      <c r="K250" s="46" t="n"/>
      <c r="L250" s="46" t="n"/>
      <c r="M250" s="46" t="n"/>
    </row>
    <row r="251">
      <c r="A251" t="n">
        <v>248</v>
      </c>
      <c r="B251" t="inlineStr">
        <is>
          <t>미디어커뮤니케이션학과</t>
        </is>
      </c>
      <c r="C251" t="inlineStr">
        <is>
          <t>컴퓨터공학과</t>
        </is>
      </c>
      <c r="D251" t="n">
        <v>21</v>
      </c>
      <c r="E251" t="n">
        <v>29</v>
      </c>
      <c r="F251" s="48">
        <f>SUMPRODUCT(('평가'!C21:P21&lt;&gt;"")*('평가'!C29:P29&lt;&gt;""))</f>
        <v/>
      </c>
      <c r="G251" s="48">
        <f>SUMPRODUCT(('평가'!C21:P21&lt;&gt;"")*('평가'!C29:P29&lt;&gt;"")*('평가'!C21:P21='평가'!C29:P29))</f>
        <v/>
      </c>
      <c r="H251" s="49">
        <f>IF(F251=0,"",G251/F251)</f>
        <v/>
      </c>
      <c r="I251" s="46" t="n"/>
      <c r="J251" s="46" t="n"/>
      <c r="K251" s="46" t="n"/>
      <c r="L251" s="46" t="n"/>
      <c r="M251" s="46" t="n"/>
    </row>
    <row r="252">
      <c r="A252" t="n">
        <v>249</v>
      </c>
      <c r="B252" t="inlineStr">
        <is>
          <t>화학공학과</t>
        </is>
      </c>
      <c r="C252" t="inlineStr">
        <is>
          <t>디자인학과</t>
        </is>
      </c>
      <c r="D252" t="n">
        <v>22</v>
      </c>
      <c r="E252" t="n">
        <v>23</v>
      </c>
      <c r="F252" s="48">
        <f>SUMPRODUCT(('평가'!C22:P22&lt;&gt;"")*('평가'!C23:P23&lt;&gt;""))</f>
        <v/>
      </c>
      <c r="G252" s="48">
        <f>SUMPRODUCT(('평가'!C22:P22&lt;&gt;"")*('평가'!C23:P23&lt;&gt;"")*('평가'!C22:P22='평가'!C23:P23))</f>
        <v/>
      </c>
      <c r="H252" s="49">
        <f>IF(F252=0,"",G252/F252)</f>
        <v/>
      </c>
      <c r="I252" s="46" t="n"/>
      <c r="J252" s="46" t="n"/>
      <c r="K252" s="46" t="n"/>
      <c r="L252" s="46" t="n"/>
      <c r="M252" s="46" t="n"/>
    </row>
    <row r="253">
      <c r="A253" t="n">
        <v>250</v>
      </c>
      <c r="B253" t="inlineStr">
        <is>
          <t>화학공학과</t>
        </is>
      </c>
      <c r="C253" t="inlineStr">
        <is>
          <t>식품영양학과</t>
        </is>
      </c>
      <c r="D253" t="n">
        <v>22</v>
      </c>
      <c r="E253" t="n">
        <v>24</v>
      </c>
      <c r="F253" s="48">
        <f>SUMPRODUCT(('평가'!C22:P22&lt;&gt;"")*('평가'!C24:P24&lt;&gt;""))</f>
        <v/>
      </c>
      <c r="G253" s="48">
        <f>SUMPRODUCT(('평가'!C22:P22&lt;&gt;"")*('평가'!C24:P24&lt;&gt;"")*('평가'!C22:P22='평가'!C24:P24))</f>
        <v/>
      </c>
      <c r="H253" s="49">
        <f>IF(F253=0,"",G253/F253)</f>
        <v/>
      </c>
      <c r="I253" s="46" t="n"/>
      <c r="J253" s="46" t="n"/>
      <c r="K253" s="46" t="n"/>
      <c r="L253" s="46" t="n"/>
      <c r="M253" s="46" t="n"/>
    </row>
    <row r="254">
      <c r="A254" t="n">
        <v>251</v>
      </c>
      <c r="B254" t="inlineStr">
        <is>
          <t>화학공학과</t>
        </is>
      </c>
      <c r="C254" t="inlineStr">
        <is>
          <t>간호학과</t>
        </is>
      </c>
      <c r="D254" t="n">
        <v>22</v>
      </c>
      <c r="E254" t="n">
        <v>25</v>
      </c>
      <c r="F254" s="48">
        <f>SUMPRODUCT(('평가'!C22:P22&lt;&gt;"")*('평가'!C25:P25&lt;&gt;""))</f>
        <v/>
      </c>
      <c r="G254" s="48">
        <f>SUMPRODUCT(('평가'!C22:P22&lt;&gt;"")*('평가'!C25:P25&lt;&gt;"")*('평가'!C22:P22='평가'!C25:P25))</f>
        <v/>
      </c>
      <c r="H254" s="49">
        <f>IF(F254=0,"",G254/F254)</f>
        <v/>
      </c>
      <c r="I254" s="46" t="n"/>
      <c r="J254" s="46" t="n"/>
      <c r="K254" s="46" t="n"/>
      <c r="L254" s="46" t="n"/>
      <c r="M254" s="46" t="n"/>
    </row>
    <row r="255">
      <c r="A255" t="n">
        <v>252</v>
      </c>
      <c r="B255" t="inlineStr">
        <is>
          <t>화학공학과</t>
        </is>
      </c>
      <c r="C255" t="inlineStr">
        <is>
          <t>전기전자공학과</t>
        </is>
      </c>
      <c r="D255" t="n">
        <v>22</v>
      </c>
      <c r="E255" t="n">
        <v>26</v>
      </c>
      <c r="F255" s="48">
        <f>SUMPRODUCT(('평가'!C22:P22&lt;&gt;"")*('평가'!C26:P26&lt;&gt;""))</f>
        <v/>
      </c>
      <c r="G255" s="48">
        <f>SUMPRODUCT(('평가'!C22:P22&lt;&gt;"")*('평가'!C26:P26&lt;&gt;"")*('평가'!C22:P22='평가'!C26:P26))</f>
        <v/>
      </c>
      <c r="H255" s="49">
        <f>IF(F255=0,"",G255/F255)</f>
        <v/>
      </c>
      <c r="I255" s="46" t="n"/>
      <c r="J255" s="46" t="n"/>
      <c r="K255" s="46" t="n"/>
      <c r="L255" s="46" t="n"/>
      <c r="M255" s="46" t="n"/>
    </row>
    <row r="256">
      <c r="A256" t="n">
        <v>253</v>
      </c>
      <c r="B256" t="inlineStr">
        <is>
          <t>화학공학과</t>
        </is>
      </c>
      <c r="C256" t="inlineStr">
        <is>
          <t>사학과</t>
        </is>
      </c>
      <c r="D256" t="n">
        <v>22</v>
      </c>
      <c r="E256" t="n">
        <v>27</v>
      </c>
      <c r="F256" s="48">
        <f>SUMPRODUCT(('평가'!C22:P22&lt;&gt;"")*('평가'!C27:P27&lt;&gt;""))</f>
        <v/>
      </c>
      <c r="G256" s="48">
        <f>SUMPRODUCT(('평가'!C22:P22&lt;&gt;"")*('평가'!C27:P27&lt;&gt;"")*('평가'!C22:P22='평가'!C27:P27))</f>
        <v/>
      </c>
      <c r="H256" s="49">
        <f>IF(F256=0,"",G256/F256)</f>
        <v/>
      </c>
      <c r="I256" s="46" t="n"/>
      <c r="J256" s="46" t="n"/>
      <c r="K256" s="46" t="n"/>
      <c r="L256" s="46" t="n"/>
      <c r="M256" s="46" t="n"/>
    </row>
    <row r="257">
      <c r="A257" t="n">
        <v>254</v>
      </c>
      <c r="B257" t="inlineStr">
        <is>
          <t>화학공학과</t>
        </is>
      </c>
      <c r="C257" t="inlineStr">
        <is>
          <t>응용통계학과</t>
        </is>
      </c>
      <c r="D257" t="n">
        <v>22</v>
      </c>
      <c r="E257" t="n">
        <v>28</v>
      </c>
      <c r="F257" s="48">
        <f>SUMPRODUCT(('평가'!C22:P22&lt;&gt;"")*('평가'!C28:P28&lt;&gt;""))</f>
        <v/>
      </c>
      <c r="G257" s="48">
        <f>SUMPRODUCT(('평가'!C22:P22&lt;&gt;"")*('평가'!C28:P28&lt;&gt;"")*('평가'!C22:P22='평가'!C28:P28))</f>
        <v/>
      </c>
      <c r="H257" s="49">
        <f>IF(F257=0,"",G257/F257)</f>
        <v/>
      </c>
      <c r="I257" s="46" t="n"/>
      <c r="J257" s="46" t="n"/>
      <c r="K257" s="46" t="n"/>
      <c r="L257" s="46" t="n"/>
      <c r="M257" s="46" t="n"/>
    </row>
    <row r="258">
      <c r="A258" t="n">
        <v>255</v>
      </c>
      <c r="B258" t="inlineStr">
        <is>
          <t>화학공학과</t>
        </is>
      </c>
      <c r="C258" t="inlineStr">
        <is>
          <t>컴퓨터공학과</t>
        </is>
      </c>
      <c r="D258" t="n">
        <v>22</v>
      </c>
      <c r="E258" t="n">
        <v>29</v>
      </c>
      <c r="F258" s="48">
        <f>SUMPRODUCT(('평가'!C22:P22&lt;&gt;"")*('평가'!C29:P29&lt;&gt;""))</f>
        <v/>
      </c>
      <c r="G258" s="48">
        <f>SUMPRODUCT(('평가'!C22:P22&lt;&gt;"")*('평가'!C29:P29&lt;&gt;"")*('평가'!C22:P22='평가'!C29:P29))</f>
        <v/>
      </c>
      <c r="H258" s="49">
        <f>IF(F258=0,"",G258/F258)</f>
        <v/>
      </c>
      <c r="I258" s="46" t="n"/>
      <c r="J258" s="46" t="n"/>
      <c r="K258" s="46" t="n"/>
      <c r="L258" s="46" t="n"/>
      <c r="M258" s="46" t="n"/>
    </row>
    <row r="259">
      <c r="A259" t="n">
        <v>256</v>
      </c>
      <c r="B259" t="inlineStr">
        <is>
          <t>디자인학과</t>
        </is>
      </c>
      <c r="C259" t="inlineStr">
        <is>
          <t>식품영양학과</t>
        </is>
      </c>
      <c r="D259" t="n">
        <v>23</v>
      </c>
      <c r="E259" t="n">
        <v>24</v>
      </c>
      <c r="F259" s="48">
        <f>SUMPRODUCT(('평가'!C23:P23&lt;&gt;"")*('평가'!C24:P24&lt;&gt;""))</f>
        <v/>
      </c>
      <c r="G259" s="48">
        <f>SUMPRODUCT(('평가'!C23:P23&lt;&gt;"")*('평가'!C24:P24&lt;&gt;"")*('평가'!C23:P23='평가'!C24:P24))</f>
        <v/>
      </c>
      <c r="H259" s="49">
        <f>IF(F259=0,"",G259/F259)</f>
        <v/>
      </c>
      <c r="I259" s="46" t="n"/>
      <c r="J259" s="46" t="n"/>
      <c r="K259" s="46" t="n"/>
      <c r="L259" s="46" t="n"/>
      <c r="M259" s="46" t="n"/>
    </row>
    <row r="260">
      <c r="A260" t="n">
        <v>257</v>
      </c>
      <c r="B260" t="inlineStr">
        <is>
          <t>디자인학과</t>
        </is>
      </c>
      <c r="C260" t="inlineStr">
        <is>
          <t>간호학과</t>
        </is>
      </c>
      <c r="D260" t="n">
        <v>23</v>
      </c>
      <c r="E260" t="n">
        <v>25</v>
      </c>
      <c r="F260" s="48">
        <f>SUMPRODUCT(('평가'!C23:P23&lt;&gt;"")*('평가'!C25:P25&lt;&gt;""))</f>
        <v/>
      </c>
      <c r="G260" s="48">
        <f>SUMPRODUCT(('평가'!C23:P23&lt;&gt;"")*('평가'!C25:P25&lt;&gt;"")*('평가'!C23:P23='평가'!C25:P25))</f>
        <v/>
      </c>
      <c r="H260" s="49">
        <f>IF(F260=0,"",G260/F260)</f>
        <v/>
      </c>
      <c r="I260" s="46" t="n"/>
      <c r="J260" s="46" t="n"/>
      <c r="K260" s="46" t="n"/>
      <c r="L260" s="46" t="n"/>
      <c r="M260" s="46" t="n"/>
    </row>
    <row r="261">
      <c r="A261" t="n">
        <v>258</v>
      </c>
      <c r="B261" t="inlineStr">
        <is>
          <t>디자인학과</t>
        </is>
      </c>
      <c r="C261" t="inlineStr">
        <is>
          <t>전기전자공학과</t>
        </is>
      </c>
      <c r="D261" t="n">
        <v>23</v>
      </c>
      <c r="E261" t="n">
        <v>26</v>
      </c>
      <c r="F261" s="48">
        <f>SUMPRODUCT(('평가'!C23:P23&lt;&gt;"")*('평가'!C26:P26&lt;&gt;""))</f>
        <v/>
      </c>
      <c r="G261" s="48">
        <f>SUMPRODUCT(('평가'!C23:P23&lt;&gt;"")*('평가'!C26:P26&lt;&gt;"")*('평가'!C23:P23='평가'!C26:P26))</f>
        <v/>
      </c>
      <c r="H261" s="49">
        <f>IF(F261=0,"",G261/F261)</f>
        <v/>
      </c>
      <c r="I261" s="46" t="n"/>
      <c r="J261" s="46" t="n"/>
      <c r="K261" s="46" t="n"/>
      <c r="L261" s="46" t="n"/>
      <c r="M261" s="46" t="n"/>
    </row>
    <row r="262">
      <c r="A262" t="n">
        <v>259</v>
      </c>
      <c r="B262" t="inlineStr">
        <is>
          <t>디자인학과</t>
        </is>
      </c>
      <c r="C262" t="inlineStr">
        <is>
          <t>사학과</t>
        </is>
      </c>
      <c r="D262" t="n">
        <v>23</v>
      </c>
      <c r="E262" t="n">
        <v>27</v>
      </c>
      <c r="F262" s="48">
        <f>SUMPRODUCT(('평가'!C23:P23&lt;&gt;"")*('평가'!C27:P27&lt;&gt;""))</f>
        <v/>
      </c>
      <c r="G262" s="48">
        <f>SUMPRODUCT(('평가'!C23:P23&lt;&gt;"")*('평가'!C27:P27&lt;&gt;"")*('평가'!C23:P23='평가'!C27:P27))</f>
        <v/>
      </c>
      <c r="H262" s="49">
        <f>IF(F262=0,"",G262/F262)</f>
        <v/>
      </c>
      <c r="I262" s="46" t="n"/>
      <c r="J262" s="46" t="n"/>
      <c r="K262" s="46" t="n"/>
      <c r="L262" s="46" t="n"/>
      <c r="M262" s="46" t="n"/>
    </row>
    <row r="263">
      <c r="A263" t="n">
        <v>260</v>
      </c>
      <c r="B263" t="inlineStr">
        <is>
          <t>디자인학과</t>
        </is>
      </c>
      <c r="C263" t="inlineStr">
        <is>
          <t>응용통계학과</t>
        </is>
      </c>
      <c r="D263" t="n">
        <v>23</v>
      </c>
      <c r="E263" t="n">
        <v>28</v>
      </c>
      <c r="F263" s="48">
        <f>SUMPRODUCT(('평가'!C23:P23&lt;&gt;"")*('평가'!C28:P28&lt;&gt;""))</f>
        <v/>
      </c>
      <c r="G263" s="48">
        <f>SUMPRODUCT(('평가'!C23:P23&lt;&gt;"")*('평가'!C28:P28&lt;&gt;"")*('평가'!C23:P23='평가'!C28:P28))</f>
        <v/>
      </c>
      <c r="H263" s="49">
        <f>IF(F263=0,"",G263/F263)</f>
        <v/>
      </c>
      <c r="I263" s="46" t="n"/>
      <c r="J263" s="46" t="n"/>
      <c r="K263" s="46" t="n"/>
      <c r="L263" s="46" t="n"/>
      <c r="M263" s="46" t="n"/>
    </row>
    <row r="264">
      <c r="A264" t="n">
        <v>261</v>
      </c>
      <c r="B264" t="inlineStr">
        <is>
          <t>디자인학과</t>
        </is>
      </c>
      <c r="C264" t="inlineStr">
        <is>
          <t>컴퓨터공학과</t>
        </is>
      </c>
      <c r="D264" t="n">
        <v>23</v>
      </c>
      <c r="E264" t="n">
        <v>29</v>
      </c>
      <c r="F264" s="48">
        <f>SUMPRODUCT(('평가'!C23:P23&lt;&gt;"")*('평가'!C29:P29&lt;&gt;""))</f>
        <v/>
      </c>
      <c r="G264" s="48">
        <f>SUMPRODUCT(('평가'!C23:P23&lt;&gt;"")*('평가'!C29:P29&lt;&gt;"")*('평가'!C23:P23='평가'!C29:P29))</f>
        <v/>
      </c>
      <c r="H264" s="49">
        <f>IF(F264=0,"",G264/F264)</f>
        <v/>
      </c>
      <c r="I264" s="46" t="n"/>
      <c r="J264" s="46" t="n"/>
      <c r="K264" s="46" t="n"/>
      <c r="L264" s="46" t="n"/>
      <c r="M264" s="46" t="n"/>
    </row>
    <row r="265">
      <c r="A265" t="n">
        <v>262</v>
      </c>
      <c r="B265" t="inlineStr">
        <is>
          <t>식품영양학과</t>
        </is>
      </c>
      <c r="C265" t="inlineStr">
        <is>
          <t>간호학과</t>
        </is>
      </c>
      <c r="D265" t="n">
        <v>24</v>
      </c>
      <c r="E265" t="n">
        <v>25</v>
      </c>
      <c r="F265" s="48">
        <f>SUMPRODUCT(('평가'!C24:P24&lt;&gt;"")*('평가'!C25:P25&lt;&gt;""))</f>
        <v/>
      </c>
      <c r="G265" s="48">
        <f>SUMPRODUCT(('평가'!C24:P24&lt;&gt;"")*('평가'!C25:P25&lt;&gt;"")*('평가'!C24:P24='평가'!C25:P25))</f>
        <v/>
      </c>
      <c r="H265" s="49">
        <f>IF(F265=0,"",G265/F265)</f>
        <v/>
      </c>
      <c r="I265" s="46" t="n"/>
      <c r="J265" s="46" t="n"/>
      <c r="K265" s="46" t="n"/>
      <c r="L265" s="46" t="n"/>
      <c r="M265" s="46" t="n"/>
    </row>
    <row r="266">
      <c r="A266" t="n">
        <v>263</v>
      </c>
      <c r="B266" t="inlineStr">
        <is>
          <t>식품영양학과</t>
        </is>
      </c>
      <c r="C266" t="inlineStr">
        <is>
          <t>전기전자공학과</t>
        </is>
      </c>
      <c r="D266" t="n">
        <v>24</v>
      </c>
      <c r="E266" t="n">
        <v>26</v>
      </c>
      <c r="F266" s="48">
        <f>SUMPRODUCT(('평가'!C24:P24&lt;&gt;"")*('평가'!C26:P26&lt;&gt;""))</f>
        <v/>
      </c>
      <c r="G266" s="48">
        <f>SUMPRODUCT(('평가'!C24:P24&lt;&gt;"")*('평가'!C26:P26&lt;&gt;"")*('평가'!C24:P24='평가'!C26:P26))</f>
        <v/>
      </c>
      <c r="H266" s="49">
        <f>IF(F266=0,"",G266/F266)</f>
        <v/>
      </c>
      <c r="I266" s="46" t="n"/>
      <c r="J266" s="46" t="n"/>
      <c r="K266" s="46" t="n"/>
      <c r="L266" s="46" t="n"/>
      <c r="M266" s="46" t="n"/>
    </row>
    <row r="267">
      <c r="A267" t="n">
        <v>264</v>
      </c>
      <c r="B267" t="inlineStr">
        <is>
          <t>식품영양학과</t>
        </is>
      </c>
      <c r="C267" t="inlineStr">
        <is>
          <t>사학과</t>
        </is>
      </c>
      <c r="D267" t="n">
        <v>24</v>
      </c>
      <c r="E267" t="n">
        <v>27</v>
      </c>
      <c r="F267" s="48">
        <f>SUMPRODUCT(('평가'!C24:P24&lt;&gt;"")*('평가'!C27:P27&lt;&gt;""))</f>
        <v/>
      </c>
      <c r="G267" s="48">
        <f>SUMPRODUCT(('평가'!C24:P24&lt;&gt;"")*('평가'!C27:P27&lt;&gt;"")*('평가'!C24:P24='평가'!C27:P27))</f>
        <v/>
      </c>
      <c r="H267" s="49">
        <f>IF(F267=0,"",G267/F267)</f>
        <v/>
      </c>
      <c r="I267" s="46" t="n"/>
      <c r="J267" s="46" t="n"/>
      <c r="K267" s="46" t="n"/>
      <c r="L267" s="46" t="n"/>
      <c r="M267" s="46" t="n"/>
    </row>
    <row r="268">
      <c r="A268" t="n">
        <v>265</v>
      </c>
      <c r="B268" t="inlineStr">
        <is>
          <t>식품영양학과</t>
        </is>
      </c>
      <c r="C268" t="inlineStr">
        <is>
          <t>응용통계학과</t>
        </is>
      </c>
      <c r="D268" t="n">
        <v>24</v>
      </c>
      <c r="E268" t="n">
        <v>28</v>
      </c>
      <c r="F268" s="48">
        <f>SUMPRODUCT(('평가'!C24:P24&lt;&gt;"")*('평가'!C28:P28&lt;&gt;""))</f>
        <v/>
      </c>
      <c r="G268" s="48">
        <f>SUMPRODUCT(('평가'!C24:P24&lt;&gt;"")*('평가'!C28:P28&lt;&gt;"")*('평가'!C24:P24='평가'!C28:P28))</f>
        <v/>
      </c>
      <c r="H268" s="49">
        <f>IF(F268=0,"",G268/F268)</f>
        <v/>
      </c>
      <c r="I268" s="46" t="n"/>
      <c r="J268" s="46" t="n"/>
      <c r="K268" s="46" t="n"/>
      <c r="L268" s="46" t="n"/>
      <c r="M268" s="46" t="n"/>
    </row>
    <row r="269">
      <c r="A269" t="n">
        <v>266</v>
      </c>
      <c r="B269" t="inlineStr">
        <is>
          <t>식품영양학과</t>
        </is>
      </c>
      <c r="C269" t="inlineStr">
        <is>
          <t>컴퓨터공학과</t>
        </is>
      </c>
      <c r="D269" t="n">
        <v>24</v>
      </c>
      <c r="E269" t="n">
        <v>29</v>
      </c>
      <c r="F269" s="48">
        <f>SUMPRODUCT(('평가'!C24:P24&lt;&gt;"")*('평가'!C29:P29&lt;&gt;""))</f>
        <v/>
      </c>
      <c r="G269" s="48">
        <f>SUMPRODUCT(('평가'!C24:P24&lt;&gt;"")*('평가'!C29:P29&lt;&gt;"")*('평가'!C24:P24='평가'!C29:P29))</f>
        <v/>
      </c>
      <c r="H269" s="49">
        <f>IF(F269=0,"",G269/F269)</f>
        <v/>
      </c>
      <c r="I269" s="46" t="n"/>
      <c r="J269" s="46" t="n"/>
      <c r="K269" s="46" t="n"/>
      <c r="L269" s="46" t="n"/>
      <c r="M269" s="46" t="n"/>
    </row>
    <row r="270">
      <c r="A270" t="n">
        <v>267</v>
      </c>
      <c r="B270" t="inlineStr">
        <is>
          <t>간호학과</t>
        </is>
      </c>
      <c r="C270" t="inlineStr">
        <is>
          <t>전기전자공학과</t>
        </is>
      </c>
      <c r="D270" t="n">
        <v>25</v>
      </c>
      <c r="E270" t="n">
        <v>26</v>
      </c>
      <c r="F270" s="48">
        <f>SUMPRODUCT(('평가'!C25:P25&lt;&gt;"")*('평가'!C26:P26&lt;&gt;""))</f>
        <v/>
      </c>
      <c r="G270" s="48">
        <f>SUMPRODUCT(('평가'!C25:P25&lt;&gt;"")*('평가'!C26:P26&lt;&gt;"")*('평가'!C25:P25='평가'!C26:P26))</f>
        <v/>
      </c>
      <c r="H270" s="49">
        <f>IF(F270=0,"",G270/F270)</f>
        <v/>
      </c>
      <c r="I270" s="46" t="n"/>
      <c r="J270" s="46" t="n"/>
      <c r="K270" s="46" t="n"/>
      <c r="L270" s="46" t="n"/>
      <c r="M270" s="46" t="n"/>
    </row>
    <row r="271">
      <c r="A271" t="n">
        <v>268</v>
      </c>
      <c r="B271" t="inlineStr">
        <is>
          <t>간호학과</t>
        </is>
      </c>
      <c r="C271" t="inlineStr">
        <is>
          <t>사학과</t>
        </is>
      </c>
      <c r="D271" t="n">
        <v>25</v>
      </c>
      <c r="E271" t="n">
        <v>27</v>
      </c>
      <c r="F271" s="48">
        <f>SUMPRODUCT(('평가'!C25:P25&lt;&gt;"")*('평가'!C27:P27&lt;&gt;""))</f>
        <v/>
      </c>
      <c r="G271" s="48">
        <f>SUMPRODUCT(('평가'!C25:P25&lt;&gt;"")*('평가'!C27:P27&lt;&gt;"")*('평가'!C25:P25='평가'!C27:P27))</f>
        <v/>
      </c>
      <c r="H271" s="49">
        <f>IF(F271=0,"",G271/F271)</f>
        <v/>
      </c>
      <c r="I271" s="46" t="n"/>
      <c r="J271" s="46" t="n"/>
      <c r="K271" s="46" t="n"/>
      <c r="L271" s="46" t="n"/>
      <c r="M271" s="46" t="n"/>
    </row>
    <row r="272">
      <c r="A272" t="n">
        <v>269</v>
      </c>
      <c r="B272" t="inlineStr">
        <is>
          <t>간호학과</t>
        </is>
      </c>
      <c r="C272" t="inlineStr">
        <is>
          <t>응용통계학과</t>
        </is>
      </c>
      <c r="D272" t="n">
        <v>25</v>
      </c>
      <c r="E272" t="n">
        <v>28</v>
      </c>
      <c r="F272" s="48">
        <f>SUMPRODUCT(('평가'!C25:P25&lt;&gt;"")*('평가'!C28:P28&lt;&gt;""))</f>
        <v/>
      </c>
      <c r="G272" s="48">
        <f>SUMPRODUCT(('평가'!C25:P25&lt;&gt;"")*('평가'!C28:P28&lt;&gt;"")*('평가'!C25:P25='평가'!C28:P28))</f>
        <v/>
      </c>
      <c r="H272" s="49">
        <f>IF(F272=0,"",G272/F272)</f>
        <v/>
      </c>
      <c r="I272" s="46" t="n"/>
      <c r="J272" s="46" t="n"/>
      <c r="K272" s="46" t="n"/>
      <c r="L272" s="46" t="n"/>
      <c r="M272" s="46" t="n"/>
    </row>
    <row r="273">
      <c r="A273" t="n">
        <v>270</v>
      </c>
      <c r="B273" t="inlineStr">
        <is>
          <t>간호학과</t>
        </is>
      </c>
      <c r="C273" t="inlineStr">
        <is>
          <t>컴퓨터공학과</t>
        </is>
      </c>
      <c r="D273" t="n">
        <v>25</v>
      </c>
      <c r="E273" t="n">
        <v>29</v>
      </c>
      <c r="F273" s="48">
        <f>SUMPRODUCT(('평가'!C25:P25&lt;&gt;"")*('평가'!C29:P29&lt;&gt;""))</f>
        <v/>
      </c>
      <c r="G273" s="48">
        <f>SUMPRODUCT(('평가'!C25:P25&lt;&gt;"")*('평가'!C29:P29&lt;&gt;"")*('평가'!C25:P25='평가'!C29:P29))</f>
        <v/>
      </c>
      <c r="H273" s="49">
        <f>IF(F273=0,"",G273/F273)</f>
        <v/>
      </c>
      <c r="I273" s="46" t="n"/>
      <c r="J273" s="46" t="n"/>
      <c r="K273" s="46" t="n"/>
      <c r="L273" s="46" t="n"/>
      <c r="M273" s="46" t="n"/>
    </row>
    <row r="274">
      <c r="A274" t="n">
        <v>271</v>
      </c>
      <c r="B274" t="inlineStr">
        <is>
          <t>전기전자공학과</t>
        </is>
      </c>
      <c r="C274" t="inlineStr">
        <is>
          <t>사학과</t>
        </is>
      </c>
      <c r="D274" t="n">
        <v>26</v>
      </c>
      <c r="E274" t="n">
        <v>27</v>
      </c>
      <c r="F274" s="48">
        <f>SUMPRODUCT(('평가'!C26:P26&lt;&gt;"")*('평가'!C27:P27&lt;&gt;""))</f>
        <v/>
      </c>
      <c r="G274" s="48">
        <f>SUMPRODUCT(('평가'!C26:P26&lt;&gt;"")*('평가'!C27:P27&lt;&gt;"")*('평가'!C26:P26='평가'!C27:P27))</f>
        <v/>
      </c>
      <c r="H274" s="49">
        <f>IF(F274=0,"",G274/F274)</f>
        <v/>
      </c>
      <c r="I274" s="46" t="n"/>
      <c r="J274" s="46" t="n"/>
      <c r="K274" s="46" t="n"/>
      <c r="L274" s="46" t="n"/>
      <c r="M274" s="46" t="n"/>
    </row>
    <row r="275">
      <c r="A275" t="n">
        <v>272</v>
      </c>
      <c r="B275" t="inlineStr">
        <is>
          <t>전기전자공학과</t>
        </is>
      </c>
      <c r="C275" t="inlineStr">
        <is>
          <t>응용통계학과</t>
        </is>
      </c>
      <c r="D275" t="n">
        <v>26</v>
      </c>
      <c r="E275" t="n">
        <v>28</v>
      </c>
      <c r="F275" s="48">
        <f>SUMPRODUCT(('평가'!C26:P26&lt;&gt;"")*('평가'!C28:P28&lt;&gt;""))</f>
        <v/>
      </c>
      <c r="G275" s="48">
        <f>SUMPRODUCT(('평가'!C26:P26&lt;&gt;"")*('평가'!C28:P28&lt;&gt;"")*('평가'!C26:P26='평가'!C28:P28))</f>
        <v/>
      </c>
      <c r="H275" s="49">
        <f>IF(F275=0,"",G275/F275)</f>
        <v/>
      </c>
      <c r="I275" s="46" t="n"/>
      <c r="J275" s="46" t="n"/>
      <c r="K275" s="46" t="n"/>
      <c r="L275" s="46" t="n"/>
      <c r="M275" s="46" t="n"/>
    </row>
    <row r="276">
      <c r="A276" t="n">
        <v>273</v>
      </c>
      <c r="B276" t="inlineStr">
        <is>
          <t>전기전자공학과</t>
        </is>
      </c>
      <c r="C276" t="inlineStr">
        <is>
          <t>컴퓨터공학과</t>
        </is>
      </c>
      <c r="D276" t="n">
        <v>26</v>
      </c>
      <c r="E276" t="n">
        <v>29</v>
      </c>
      <c r="F276" s="48">
        <f>SUMPRODUCT(('평가'!C26:P26&lt;&gt;"")*('평가'!C29:P29&lt;&gt;""))</f>
        <v/>
      </c>
      <c r="G276" s="48">
        <f>SUMPRODUCT(('평가'!C26:P26&lt;&gt;"")*('평가'!C29:P29&lt;&gt;"")*('평가'!C26:P26='평가'!C29:P29))</f>
        <v/>
      </c>
      <c r="H276" s="49">
        <f>IF(F276=0,"",G276/F276)</f>
        <v/>
      </c>
      <c r="I276" s="46" t="n"/>
      <c r="J276" s="46" t="n"/>
      <c r="K276" s="46" t="n"/>
      <c r="L276" s="46" t="n"/>
      <c r="M276" s="46" t="n"/>
    </row>
    <row r="277">
      <c r="A277" t="n">
        <v>274</v>
      </c>
      <c r="B277" t="inlineStr">
        <is>
          <t>사학과</t>
        </is>
      </c>
      <c r="C277" t="inlineStr">
        <is>
          <t>응용통계학과</t>
        </is>
      </c>
      <c r="D277" t="n">
        <v>27</v>
      </c>
      <c r="E277" t="n">
        <v>28</v>
      </c>
      <c r="F277" s="48">
        <f>SUMPRODUCT(('평가'!C27:P27&lt;&gt;"")*('평가'!C28:P28&lt;&gt;""))</f>
        <v/>
      </c>
      <c r="G277" s="48">
        <f>SUMPRODUCT(('평가'!C27:P27&lt;&gt;"")*('평가'!C28:P28&lt;&gt;"")*('평가'!C27:P27='평가'!C28:P28))</f>
        <v/>
      </c>
      <c r="H277" s="49">
        <f>IF(F277=0,"",G277/F277)</f>
        <v/>
      </c>
      <c r="I277" s="46" t="n"/>
      <c r="J277" s="46" t="n"/>
      <c r="K277" s="46" t="n"/>
      <c r="L277" s="46" t="n"/>
      <c r="M277" s="46" t="n"/>
    </row>
    <row r="278">
      <c r="A278" t="n">
        <v>275</v>
      </c>
      <c r="B278" t="inlineStr">
        <is>
          <t>사학과</t>
        </is>
      </c>
      <c r="C278" t="inlineStr">
        <is>
          <t>컴퓨터공학과</t>
        </is>
      </c>
      <c r="D278" t="n">
        <v>27</v>
      </c>
      <c r="E278" t="n">
        <v>29</v>
      </c>
      <c r="F278" s="48">
        <f>SUMPRODUCT(('평가'!C27:P27&lt;&gt;"")*('평가'!C29:P29&lt;&gt;""))</f>
        <v/>
      </c>
      <c r="G278" s="48">
        <f>SUMPRODUCT(('평가'!C27:P27&lt;&gt;"")*('평가'!C29:P29&lt;&gt;"")*('평가'!C27:P27='평가'!C29:P29))</f>
        <v/>
      </c>
      <c r="H278" s="49">
        <f>IF(F278=0,"",G278/F278)</f>
        <v/>
      </c>
      <c r="I278" s="46" t="n"/>
      <c r="J278" s="46" t="n"/>
      <c r="K278" s="46" t="n"/>
      <c r="L278" s="46" t="n"/>
      <c r="M278" s="46" t="n"/>
    </row>
    <row r="279">
      <c r="A279" t="n">
        <v>276</v>
      </c>
      <c r="B279" t="inlineStr">
        <is>
          <t>응용통계학과</t>
        </is>
      </c>
      <c r="C279" t="inlineStr">
        <is>
          <t>컴퓨터공학과</t>
        </is>
      </c>
      <c r="D279" t="n">
        <v>28</v>
      </c>
      <c r="E279" t="n">
        <v>29</v>
      </c>
      <c r="F279" s="48">
        <f>SUMPRODUCT(('평가'!C28:P28&lt;&gt;"")*('평가'!C29:P29&lt;&gt;""))</f>
        <v/>
      </c>
      <c r="G279" s="48">
        <f>SUMPRODUCT(('평가'!C28:P28&lt;&gt;"")*('평가'!C29:P29&lt;&gt;"")*('평가'!C28:P28='평가'!C29:P29))</f>
        <v/>
      </c>
      <c r="H279" s="49">
        <f>IF(F279=0,"",G279/F279)</f>
        <v/>
      </c>
      <c r="I279" s="46" t="n"/>
      <c r="J279" s="46" t="n"/>
      <c r="K279" s="46" t="n"/>
      <c r="L279" s="46" t="n"/>
      <c r="M279" s="46" t="n"/>
    </row>
  </sheetData>
  <autoFilter ref="A3:M279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2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>
      <c r="A1" s="45" t="inlineStr">
        <is>
          <t>Respondent</t>
        </is>
      </c>
      <c r="B1" s="45" t="inlineStr">
        <is>
          <t>Filled depts</t>
        </is>
      </c>
      <c r="C1" s="45" t="inlineStr">
        <is>
          <t>Used groups</t>
        </is>
      </c>
      <c r="D1" s="45" t="inlineStr">
        <is>
          <t>Largest group</t>
        </is>
      </c>
      <c r="E1" s="45" t="inlineStr">
        <is>
          <t>Check note</t>
        </is>
      </c>
      <c r="F1" s="45" t="inlineStr">
        <is>
          <t>Group 1</t>
        </is>
      </c>
      <c r="G1" s="45" t="inlineStr">
        <is>
          <t>Group 2</t>
        </is>
      </c>
      <c r="H1" s="45" t="inlineStr">
        <is>
          <t>Group 3</t>
        </is>
      </c>
      <c r="I1" s="45" t="inlineStr">
        <is>
          <t>Group 4</t>
        </is>
      </c>
      <c r="J1" s="45" t="inlineStr">
        <is>
          <t>Group 5</t>
        </is>
      </c>
      <c r="K1" s="45" t="inlineStr">
        <is>
          <t>Group 6</t>
        </is>
      </c>
      <c r="L1" s="45" t="inlineStr">
        <is>
          <t>Group 7</t>
        </is>
      </c>
      <c r="M1" s="45" t="inlineStr">
        <is>
          <t>Group 8</t>
        </is>
      </c>
      <c r="N1" s="45" t="inlineStr">
        <is>
          <t>Group 9</t>
        </is>
      </c>
      <c r="O1" s="45" t="inlineStr">
        <is>
          <t>Group 10</t>
        </is>
      </c>
      <c r="P1" s="45" t="inlineStr">
        <is>
          <t>Group 11</t>
        </is>
      </c>
      <c r="Q1" s="45" t="inlineStr">
        <is>
          <t>Group 12</t>
        </is>
      </c>
      <c r="R1" s="45" t="inlineStr">
        <is>
          <t>Group 13</t>
        </is>
      </c>
      <c r="S1" s="45" t="inlineStr">
        <is>
          <t>Group 14</t>
        </is>
      </c>
      <c r="T1" s="45" t="inlineStr">
        <is>
          <t>Group 15</t>
        </is>
      </c>
      <c r="U1" s="45" t="inlineStr">
        <is>
          <t>Group 16</t>
        </is>
      </c>
      <c r="V1" s="45" t="inlineStr">
        <is>
          <t>Group 17</t>
        </is>
      </c>
      <c r="W1" s="45" t="inlineStr">
        <is>
          <t>Group 18</t>
        </is>
      </c>
      <c r="X1" s="45" t="inlineStr">
        <is>
          <t>Group 19</t>
        </is>
      </c>
      <c r="Y1" s="45" t="inlineStr">
        <is>
          <t>Group 20</t>
        </is>
      </c>
      <c r="Z1" s="45" t="inlineStr">
        <is>
          <t>Group 21</t>
        </is>
      </c>
      <c r="AA1" s="45" t="inlineStr">
        <is>
          <t>Group 22</t>
        </is>
      </c>
      <c r="AB1" s="45" t="inlineStr">
        <is>
          <t>Group 23</t>
        </is>
      </c>
      <c r="AC1" s="45" t="inlineStr">
        <is>
          <t>Group 24</t>
        </is>
      </c>
    </row>
    <row r="2">
      <c r="A2" s="46" t="inlineStr">
        <is>
          <t>담임1</t>
        </is>
      </c>
      <c r="B2" s="46">
        <f>COUNT('평가'!C6:C29)</f>
        <v/>
      </c>
      <c r="C2" s="46">
        <f>COUNTIF(F2:AC2,"&gt;0")</f>
        <v/>
      </c>
      <c r="D2" s="46">
        <f>MAX(F2:AC2)</f>
        <v/>
      </c>
      <c r="E2" s="46">
        <f>IF(B2=0,"no response yet",IF(B2&lt;24,"missing depts",IF(C2=1,"all one group?",IF(C2&gt;18,"too many groups?","OK"))))</f>
        <v/>
      </c>
      <c r="F2" s="47">
        <f>COUNTIF('평가'!$C$6:$C$29,1)</f>
        <v/>
      </c>
      <c r="G2" s="47">
        <f>COUNTIF('평가'!$C$6:$C$29,2)</f>
        <v/>
      </c>
      <c r="H2" s="47">
        <f>COUNTIF('평가'!$C$6:$C$29,3)</f>
        <v/>
      </c>
      <c r="I2" s="47">
        <f>COUNTIF('평가'!$C$6:$C$29,4)</f>
        <v/>
      </c>
      <c r="J2" s="47">
        <f>COUNTIF('평가'!$C$6:$C$29,5)</f>
        <v/>
      </c>
      <c r="K2" s="47">
        <f>COUNTIF('평가'!$C$6:$C$29,6)</f>
        <v/>
      </c>
      <c r="L2" s="47">
        <f>COUNTIF('평가'!$C$6:$C$29,7)</f>
        <v/>
      </c>
      <c r="M2" s="47">
        <f>COUNTIF('평가'!$C$6:$C$29,8)</f>
        <v/>
      </c>
      <c r="N2" s="47">
        <f>COUNTIF('평가'!$C$6:$C$29,9)</f>
        <v/>
      </c>
      <c r="O2" s="47">
        <f>COUNTIF('평가'!$C$6:$C$29,10)</f>
        <v/>
      </c>
      <c r="P2" s="47">
        <f>COUNTIF('평가'!$C$6:$C$29,11)</f>
        <v/>
      </c>
      <c r="Q2" s="47">
        <f>COUNTIF('평가'!$C$6:$C$29,12)</f>
        <v/>
      </c>
      <c r="R2" s="47">
        <f>COUNTIF('평가'!$C$6:$C$29,13)</f>
        <v/>
      </c>
      <c r="S2" s="47">
        <f>COUNTIF('평가'!$C$6:$C$29,14)</f>
        <v/>
      </c>
      <c r="T2" s="47">
        <f>COUNTIF('평가'!$C$6:$C$29,15)</f>
        <v/>
      </c>
      <c r="U2" s="47">
        <f>COUNTIF('평가'!$C$6:$C$29,16)</f>
        <v/>
      </c>
      <c r="V2" s="47">
        <f>COUNTIF('평가'!$C$6:$C$29,17)</f>
        <v/>
      </c>
      <c r="W2" s="47">
        <f>COUNTIF('평가'!$C$6:$C$29,18)</f>
        <v/>
      </c>
      <c r="X2" s="47">
        <f>COUNTIF('평가'!$C$6:$C$29,19)</f>
        <v/>
      </c>
      <c r="Y2" s="47">
        <f>COUNTIF('평가'!$C$6:$C$29,20)</f>
        <v/>
      </c>
      <c r="Z2" s="47">
        <f>COUNTIF('평가'!$C$6:$C$29,21)</f>
        <v/>
      </c>
      <c r="AA2" s="47">
        <f>COUNTIF('평가'!$C$6:$C$29,22)</f>
        <v/>
      </c>
      <c r="AB2" s="47">
        <f>COUNTIF('평가'!$C$6:$C$29,23)</f>
        <v/>
      </c>
      <c r="AC2" s="47">
        <f>COUNTIF('평가'!$C$6:$C$29,24)</f>
        <v/>
      </c>
    </row>
    <row r="3">
      <c r="A3" s="46" t="inlineStr">
        <is>
          <t>담임2</t>
        </is>
      </c>
      <c r="B3" s="46">
        <f>COUNT('평가'!D6:D29)</f>
        <v/>
      </c>
      <c r="C3" s="46">
        <f>COUNTIF(F3:AC3,"&gt;0")</f>
        <v/>
      </c>
      <c r="D3" s="46">
        <f>MAX(F3:AC3)</f>
        <v/>
      </c>
      <c r="E3" s="46">
        <f>IF(B3=0,"no response yet",IF(B3&lt;24,"missing depts",IF(C3=1,"all one group?",IF(C3&gt;18,"too many groups?","OK"))))</f>
        <v/>
      </c>
      <c r="F3" s="47">
        <f>COUNTIF('평가'!$D$6:$D$29,1)</f>
        <v/>
      </c>
      <c r="G3" s="47">
        <f>COUNTIF('평가'!$D$6:$D$29,2)</f>
        <v/>
      </c>
      <c r="H3" s="47">
        <f>COUNTIF('평가'!$D$6:$D$29,3)</f>
        <v/>
      </c>
      <c r="I3" s="47">
        <f>COUNTIF('평가'!$D$6:$D$29,4)</f>
        <v/>
      </c>
      <c r="J3" s="47">
        <f>COUNTIF('평가'!$D$6:$D$29,5)</f>
        <v/>
      </c>
      <c r="K3" s="47">
        <f>COUNTIF('평가'!$D$6:$D$29,6)</f>
        <v/>
      </c>
      <c r="L3" s="47">
        <f>COUNTIF('평가'!$D$6:$D$29,7)</f>
        <v/>
      </c>
      <c r="M3" s="47">
        <f>COUNTIF('평가'!$D$6:$D$29,8)</f>
        <v/>
      </c>
      <c r="N3" s="47">
        <f>COUNTIF('평가'!$D$6:$D$29,9)</f>
        <v/>
      </c>
      <c r="O3" s="47">
        <f>COUNTIF('평가'!$D$6:$D$29,10)</f>
        <v/>
      </c>
      <c r="P3" s="47">
        <f>COUNTIF('평가'!$D$6:$D$29,11)</f>
        <v/>
      </c>
      <c r="Q3" s="47">
        <f>COUNTIF('평가'!$D$6:$D$29,12)</f>
        <v/>
      </c>
      <c r="R3" s="47">
        <f>COUNTIF('평가'!$D$6:$D$29,13)</f>
        <v/>
      </c>
      <c r="S3" s="47">
        <f>COUNTIF('평가'!$D$6:$D$29,14)</f>
        <v/>
      </c>
      <c r="T3" s="47">
        <f>COUNTIF('평가'!$D$6:$D$29,15)</f>
        <v/>
      </c>
      <c r="U3" s="47">
        <f>COUNTIF('평가'!$D$6:$D$29,16)</f>
        <v/>
      </c>
      <c r="V3" s="47">
        <f>COUNTIF('평가'!$D$6:$D$29,17)</f>
        <v/>
      </c>
      <c r="W3" s="47">
        <f>COUNTIF('평가'!$D$6:$D$29,18)</f>
        <v/>
      </c>
      <c r="X3" s="47">
        <f>COUNTIF('평가'!$D$6:$D$29,19)</f>
        <v/>
      </c>
      <c r="Y3" s="47">
        <f>COUNTIF('평가'!$D$6:$D$29,20)</f>
        <v/>
      </c>
      <c r="Z3" s="47">
        <f>COUNTIF('평가'!$D$6:$D$29,21)</f>
        <v/>
      </c>
      <c r="AA3" s="47">
        <f>COUNTIF('평가'!$D$6:$D$29,22)</f>
        <v/>
      </c>
      <c r="AB3" s="47">
        <f>COUNTIF('평가'!$D$6:$D$29,23)</f>
        <v/>
      </c>
      <c r="AC3" s="47">
        <f>COUNTIF('평가'!$D$6:$D$29,24)</f>
        <v/>
      </c>
    </row>
    <row r="4">
      <c r="A4" s="46" t="inlineStr">
        <is>
          <t>담임3</t>
        </is>
      </c>
      <c r="B4" s="46">
        <f>COUNT('평가'!E6:E29)</f>
        <v/>
      </c>
      <c r="C4" s="46">
        <f>COUNTIF(F4:AC4,"&gt;0")</f>
        <v/>
      </c>
      <c r="D4" s="46">
        <f>MAX(F4:AC4)</f>
        <v/>
      </c>
      <c r="E4" s="46">
        <f>IF(B4=0,"no response yet",IF(B4&lt;24,"missing depts",IF(C4=1,"all one group?",IF(C4&gt;18,"too many groups?","OK"))))</f>
        <v/>
      </c>
      <c r="F4" s="47">
        <f>COUNTIF('평가'!$E$6:$E$29,1)</f>
        <v/>
      </c>
      <c r="G4" s="47">
        <f>COUNTIF('평가'!$E$6:$E$29,2)</f>
        <v/>
      </c>
      <c r="H4" s="47">
        <f>COUNTIF('평가'!$E$6:$E$29,3)</f>
        <v/>
      </c>
      <c r="I4" s="47">
        <f>COUNTIF('평가'!$E$6:$E$29,4)</f>
        <v/>
      </c>
      <c r="J4" s="47">
        <f>COUNTIF('평가'!$E$6:$E$29,5)</f>
        <v/>
      </c>
      <c r="K4" s="47">
        <f>COUNTIF('평가'!$E$6:$E$29,6)</f>
        <v/>
      </c>
      <c r="L4" s="47">
        <f>COUNTIF('평가'!$E$6:$E$29,7)</f>
        <v/>
      </c>
      <c r="M4" s="47">
        <f>COUNTIF('평가'!$E$6:$E$29,8)</f>
        <v/>
      </c>
      <c r="N4" s="47">
        <f>COUNTIF('평가'!$E$6:$E$29,9)</f>
        <v/>
      </c>
      <c r="O4" s="47">
        <f>COUNTIF('평가'!$E$6:$E$29,10)</f>
        <v/>
      </c>
      <c r="P4" s="47">
        <f>COUNTIF('평가'!$E$6:$E$29,11)</f>
        <v/>
      </c>
      <c r="Q4" s="47">
        <f>COUNTIF('평가'!$E$6:$E$29,12)</f>
        <v/>
      </c>
      <c r="R4" s="47">
        <f>COUNTIF('평가'!$E$6:$E$29,13)</f>
        <v/>
      </c>
      <c r="S4" s="47">
        <f>COUNTIF('평가'!$E$6:$E$29,14)</f>
        <v/>
      </c>
      <c r="T4" s="47">
        <f>COUNTIF('평가'!$E$6:$E$29,15)</f>
        <v/>
      </c>
      <c r="U4" s="47">
        <f>COUNTIF('평가'!$E$6:$E$29,16)</f>
        <v/>
      </c>
      <c r="V4" s="47">
        <f>COUNTIF('평가'!$E$6:$E$29,17)</f>
        <v/>
      </c>
      <c r="W4" s="47">
        <f>COUNTIF('평가'!$E$6:$E$29,18)</f>
        <v/>
      </c>
      <c r="X4" s="47">
        <f>COUNTIF('평가'!$E$6:$E$29,19)</f>
        <v/>
      </c>
      <c r="Y4" s="47">
        <f>COUNTIF('평가'!$E$6:$E$29,20)</f>
        <v/>
      </c>
      <c r="Z4" s="47">
        <f>COUNTIF('평가'!$E$6:$E$29,21)</f>
        <v/>
      </c>
      <c r="AA4" s="47">
        <f>COUNTIF('평가'!$E$6:$E$29,22)</f>
        <v/>
      </c>
      <c r="AB4" s="47">
        <f>COUNTIF('평가'!$E$6:$E$29,23)</f>
        <v/>
      </c>
      <c r="AC4" s="47">
        <f>COUNTIF('평가'!$E$6:$E$29,24)</f>
        <v/>
      </c>
    </row>
    <row r="5">
      <c r="A5" s="46" t="inlineStr">
        <is>
          <t>담임4</t>
        </is>
      </c>
      <c r="B5" s="46">
        <f>COUNT('평가'!F6:F29)</f>
        <v/>
      </c>
      <c r="C5" s="46">
        <f>COUNTIF(F5:AC5,"&gt;0")</f>
        <v/>
      </c>
      <c r="D5" s="46">
        <f>MAX(F5:AC5)</f>
        <v/>
      </c>
      <c r="E5" s="46">
        <f>IF(B5=0,"no response yet",IF(B5&lt;24,"missing depts",IF(C5=1,"all one group?",IF(C5&gt;18,"too many groups?","OK"))))</f>
        <v/>
      </c>
      <c r="F5" s="47">
        <f>COUNTIF('평가'!$F$6:$F$29,1)</f>
        <v/>
      </c>
      <c r="G5" s="47">
        <f>COUNTIF('평가'!$F$6:$F$29,2)</f>
        <v/>
      </c>
      <c r="H5" s="47">
        <f>COUNTIF('평가'!$F$6:$F$29,3)</f>
        <v/>
      </c>
      <c r="I5" s="47">
        <f>COUNTIF('평가'!$F$6:$F$29,4)</f>
        <v/>
      </c>
      <c r="J5" s="47">
        <f>COUNTIF('평가'!$F$6:$F$29,5)</f>
        <v/>
      </c>
      <c r="K5" s="47">
        <f>COUNTIF('평가'!$F$6:$F$29,6)</f>
        <v/>
      </c>
      <c r="L5" s="47">
        <f>COUNTIF('평가'!$F$6:$F$29,7)</f>
        <v/>
      </c>
      <c r="M5" s="47">
        <f>COUNTIF('평가'!$F$6:$F$29,8)</f>
        <v/>
      </c>
      <c r="N5" s="47">
        <f>COUNTIF('평가'!$F$6:$F$29,9)</f>
        <v/>
      </c>
      <c r="O5" s="47">
        <f>COUNTIF('평가'!$F$6:$F$29,10)</f>
        <v/>
      </c>
      <c r="P5" s="47">
        <f>COUNTIF('평가'!$F$6:$F$29,11)</f>
        <v/>
      </c>
      <c r="Q5" s="47">
        <f>COUNTIF('평가'!$F$6:$F$29,12)</f>
        <v/>
      </c>
      <c r="R5" s="47">
        <f>COUNTIF('평가'!$F$6:$F$29,13)</f>
        <v/>
      </c>
      <c r="S5" s="47">
        <f>COUNTIF('평가'!$F$6:$F$29,14)</f>
        <v/>
      </c>
      <c r="T5" s="47">
        <f>COUNTIF('평가'!$F$6:$F$29,15)</f>
        <v/>
      </c>
      <c r="U5" s="47">
        <f>COUNTIF('평가'!$F$6:$F$29,16)</f>
        <v/>
      </c>
      <c r="V5" s="47">
        <f>COUNTIF('평가'!$F$6:$F$29,17)</f>
        <v/>
      </c>
      <c r="W5" s="47">
        <f>COUNTIF('평가'!$F$6:$F$29,18)</f>
        <v/>
      </c>
      <c r="X5" s="47">
        <f>COUNTIF('평가'!$F$6:$F$29,19)</f>
        <v/>
      </c>
      <c r="Y5" s="47">
        <f>COUNTIF('평가'!$F$6:$F$29,20)</f>
        <v/>
      </c>
      <c r="Z5" s="47">
        <f>COUNTIF('평가'!$F$6:$F$29,21)</f>
        <v/>
      </c>
      <c r="AA5" s="47">
        <f>COUNTIF('평가'!$F$6:$F$29,22)</f>
        <v/>
      </c>
      <c r="AB5" s="47">
        <f>COUNTIF('평가'!$F$6:$F$29,23)</f>
        <v/>
      </c>
      <c r="AC5" s="47">
        <f>COUNTIF('평가'!$F$6:$F$29,24)</f>
        <v/>
      </c>
    </row>
    <row r="6">
      <c r="A6" s="46" t="inlineStr">
        <is>
          <t>담임5</t>
        </is>
      </c>
      <c r="B6" s="46">
        <f>COUNT('평가'!G6:G29)</f>
        <v/>
      </c>
      <c r="C6" s="46">
        <f>COUNTIF(F6:AC6,"&gt;0")</f>
        <v/>
      </c>
      <c r="D6" s="46">
        <f>MAX(F6:AC6)</f>
        <v/>
      </c>
      <c r="E6" s="46">
        <f>IF(B6=0,"no response yet",IF(B6&lt;24,"missing depts",IF(C6=1,"all one group?",IF(C6&gt;18,"too many groups?","OK"))))</f>
        <v/>
      </c>
      <c r="F6" s="47">
        <f>COUNTIF('평가'!$G$6:$G$29,1)</f>
        <v/>
      </c>
      <c r="G6" s="47">
        <f>COUNTIF('평가'!$G$6:$G$29,2)</f>
        <v/>
      </c>
      <c r="H6" s="47">
        <f>COUNTIF('평가'!$G$6:$G$29,3)</f>
        <v/>
      </c>
      <c r="I6" s="47">
        <f>COUNTIF('평가'!$G$6:$G$29,4)</f>
        <v/>
      </c>
      <c r="J6" s="47">
        <f>COUNTIF('평가'!$G$6:$G$29,5)</f>
        <v/>
      </c>
      <c r="K6" s="47">
        <f>COUNTIF('평가'!$G$6:$G$29,6)</f>
        <v/>
      </c>
      <c r="L6" s="47">
        <f>COUNTIF('평가'!$G$6:$G$29,7)</f>
        <v/>
      </c>
      <c r="M6" s="47">
        <f>COUNTIF('평가'!$G$6:$G$29,8)</f>
        <v/>
      </c>
      <c r="N6" s="47">
        <f>COUNTIF('평가'!$G$6:$G$29,9)</f>
        <v/>
      </c>
      <c r="O6" s="47">
        <f>COUNTIF('평가'!$G$6:$G$29,10)</f>
        <v/>
      </c>
      <c r="P6" s="47">
        <f>COUNTIF('평가'!$G$6:$G$29,11)</f>
        <v/>
      </c>
      <c r="Q6" s="47">
        <f>COUNTIF('평가'!$G$6:$G$29,12)</f>
        <v/>
      </c>
      <c r="R6" s="47">
        <f>COUNTIF('평가'!$G$6:$G$29,13)</f>
        <v/>
      </c>
      <c r="S6" s="47">
        <f>COUNTIF('평가'!$G$6:$G$29,14)</f>
        <v/>
      </c>
      <c r="T6" s="47">
        <f>COUNTIF('평가'!$G$6:$G$29,15)</f>
        <v/>
      </c>
      <c r="U6" s="47">
        <f>COUNTIF('평가'!$G$6:$G$29,16)</f>
        <v/>
      </c>
      <c r="V6" s="47">
        <f>COUNTIF('평가'!$G$6:$G$29,17)</f>
        <v/>
      </c>
      <c r="W6" s="47">
        <f>COUNTIF('평가'!$G$6:$G$29,18)</f>
        <v/>
      </c>
      <c r="X6" s="47">
        <f>COUNTIF('평가'!$G$6:$G$29,19)</f>
        <v/>
      </c>
      <c r="Y6" s="47">
        <f>COUNTIF('평가'!$G$6:$G$29,20)</f>
        <v/>
      </c>
      <c r="Z6" s="47">
        <f>COUNTIF('평가'!$G$6:$G$29,21)</f>
        <v/>
      </c>
      <c r="AA6" s="47">
        <f>COUNTIF('평가'!$G$6:$G$29,22)</f>
        <v/>
      </c>
      <c r="AB6" s="47">
        <f>COUNTIF('평가'!$G$6:$G$29,23)</f>
        <v/>
      </c>
      <c r="AC6" s="47">
        <f>COUNTIF('평가'!$G$6:$G$29,24)</f>
        <v/>
      </c>
    </row>
    <row r="7">
      <c r="A7" s="46" t="inlineStr">
        <is>
          <t>담임6</t>
        </is>
      </c>
      <c r="B7" s="46">
        <f>COUNT('평가'!H6:H29)</f>
        <v/>
      </c>
      <c r="C7" s="46">
        <f>COUNTIF(F7:AC7,"&gt;0")</f>
        <v/>
      </c>
      <c r="D7" s="46">
        <f>MAX(F7:AC7)</f>
        <v/>
      </c>
      <c r="E7" s="46">
        <f>IF(B7=0,"no response yet",IF(B7&lt;24,"missing depts",IF(C7=1,"all one group?",IF(C7&gt;18,"too many groups?","OK"))))</f>
        <v/>
      </c>
      <c r="F7" s="47">
        <f>COUNTIF('평가'!$H$6:$H$29,1)</f>
        <v/>
      </c>
      <c r="G7" s="47">
        <f>COUNTIF('평가'!$H$6:$H$29,2)</f>
        <v/>
      </c>
      <c r="H7" s="47">
        <f>COUNTIF('평가'!$H$6:$H$29,3)</f>
        <v/>
      </c>
      <c r="I7" s="47">
        <f>COUNTIF('평가'!$H$6:$H$29,4)</f>
        <v/>
      </c>
      <c r="J7" s="47">
        <f>COUNTIF('평가'!$H$6:$H$29,5)</f>
        <v/>
      </c>
      <c r="K7" s="47">
        <f>COUNTIF('평가'!$H$6:$H$29,6)</f>
        <v/>
      </c>
      <c r="L7" s="47">
        <f>COUNTIF('평가'!$H$6:$H$29,7)</f>
        <v/>
      </c>
      <c r="M7" s="47">
        <f>COUNTIF('평가'!$H$6:$H$29,8)</f>
        <v/>
      </c>
      <c r="N7" s="47">
        <f>COUNTIF('평가'!$H$6:$H$29,9)</f>
        <v/>
      </c>
      <c r="O7" s="47">
        <f>COUNTIF('평가'!$H$6:$H$29,10)</f>
        <v/>
      </c>
      <c r="P7" s="47">
        <f>COUNTIF('평가'!$H$6:$H$29,11)</f>
        <v/>
      </c>
      <c r="Q7" s="47">
        <f>COUNTIF('평가'!$H$6:$H$29,12)</f>
        <v/>
      </c>
      <c r="R7" s="47">
        <f>COUNTIF('평가'!$H$6:$H$29,13)</f>
        <v/>
      </c>
      <c r="S7" s="47">
        <f>COUNTIF('평가'!$H$6:$H$29,14)</f>
        <v/>
      </c>
      <c r="T7" s="47">
        <f>COUNTIF('평가'!$H$6:$H$29,15)</f>
        <v/>
      </c>
      <c r="U7" s="47">
        <f>COUNTIF('평가'!$H$6:$H$29,16)</f>
        <v/>
      </c>
      <c r="V7" s="47">
        <f>COUNTIF('평가'!$H$6:$H$29,17)</f>
        <v/>
      </c>
      <c r="W7" s="47">
        <f>COUNTIF('평가'!$H$6:$H$29,18)</f>
        <v/>
      </c>
      <c r="X7" s="47">
        <f>COUNTIF('평가'!$H$6:$H$29,19)</f>
        <v/>
      </c>
      <c r="Y7" s="47">
        <f>COUNTIF('평가'!$H$6:$H$29,20)</f>
        <v/>
      </c>
      <c r="Z7" s="47">
        <f>COUNTIF('평가'!$H$6:$H$29,21)</f>
        <v/>
      </c>
      <c r="AA7" s="47">
        <f>COUNTIF('평가'!$H$6:$H$29,22)</f>
        <v/>
      </c>
      <c r="AB7" s="47">
        <f>COUNTIF('평가'!$H$6:$H$29,23)</f>
        <v/>
      </c>
      <c r="AC7" s="47">
        <f>COUNTIF('평가'!$H$6:$H$29,24)</f>
        <v/>
      </c>
    </row>
    <row r="8">
      <c r="A8" s="46" t="inlineStr">
        <is>
          <t>담임7</t>
        </is>
      </c>
      <c r="B8" s="46">
        <f>COUNT('평가'!I6:I29)</f>
        <v/>
      </c>
      <c r="C8" s="46">
        <f>COUNTIF(F8:AC8,"&gt;0")</f>
        <v/>
      </c>
      <c r="D8" s="46">
        <f>MAX(F8:AC8)</f>
        <v/>
      </c>
      <c r="E8" s="46">
        <f>IF(B8=0,"no response yet",IF(B8&lt;24,"missing depts",IF(C8=1,"all one group?",IF(C8&gt;18,"too many groups?","OK"))))</f>
        <v/>
      </c>
      <c r="F8" s="47">
        <f>COUNTIF('평가'!$I$6:$I$29,1)</f>
        <v/>
      </c>
      <c r="G8" s="47">
        <f>COUNTIF('평가'!$I$6:$I$29,2)</f>
        <v/>
      </c>
      <c r="H8" s="47">
        <f>COUNTIF('평가'!$I$6:$I$29,3)</f>
        <v/>
      </c>
      <c r="I8" s="47">
        <f>COUNTIF('평가'!$I$6:$I$29,4)</f>
        <v/>
      </c>
      <c r="J8" s="47">
        <f>COUNTIF('평가'!$I$6:$I$29,5)</f>
        <v/>
      </c>
      <c r="K8" s="47">
        <f>COUNTIF('평가'!$I$6:$I$29,6)</f>
        <v/>
      </c>
      <c r="L8" s="47">
        <f>COUNTIF('평가'!$I$6:$I$29,7)</f>
        <v/>
      </c>
      <c r="M8" s="47">
        <f>COUNTIF('평가'!$I$6:$I$29,8)</f>
        <v/>
      </c>
      <c r="N8" s="47">
        <f>COUNTIF('평가'!$I$6:$I$29,9)</f>
        <v/>
      </c>
      <c r="O8" s="47">
        <f>COUNTIF('평가'!$I$6:$I$29,10)</f>
        <v/>
      </c>
      <c r="P8" s="47">
        <f>COUNTIF('평가'!$I$6:$I$29,11)</f>
        <v/>
      </c>
      <c r="Q8" s="47">
        <f>COUNTIF('평가'!$I$6:$I$29,12)</f>
        <v/>
      </c>
      <c r="R8" s="47">
        <f>COUNTIF('평가'!$I$6:$I$29,13)</f>
        <v/>
      </c>
      <c r="S8" s="47">
        <f>COUNTIF('평가'!$I$6:$I$29,14)</f>
        <v/>
      </c>
      <c r="T8" s="47">
        <f>COUNTIF('평가'!$I$6:$I$29,15)</f>
        <v/>
      </c>
      <c r="U8" s="47">
        <f>COUNTIF('평가'!$I$6:$I$29,16)</f>
        <v/>
      </c>
      <c r="V8" s="47">
        <f>COUNTIF('평가'!$I$6:$I$29,17)</f>
        <v/>
      </c>
      <c r="W8" s="47">
        <f>COUNTIF('평가'!$I$6:$I$29,18)</f>
        <v/>
      </c>
      <c r="X8" s="47">
        <f>COUNTIF('평가'!$I$6:$I$29,19)</f>
        <v/>
      </c>
      <c r="Y8" s="47">
        <f>COUNTIF('평가'!$I$6:$I$29,20)</f>
        <v/>
      </c>
      <c r="Z8" s="47">
        <f>COUNTIF('평가'!$I$6:$I$29,21)</f>
        <v/>
      </c>
      <c r="AA8" s="47">
        <f>COUNTIF('평가'!$I$6:$I$29,22)</f>
        <v/>
      </c>
      <c r="AB8" s="47">
        <f>COUNTIF('평가'!$I$6:$I$29,23)</f>
        <v/>
      </c>
      <c r="AC8" s="47">
        <f>COUNTIF('평가'!$I$6:$I$29,24)</f>
        <v/>
      </c>
    </row>
    <row r="9">
      <c r="A9" s="46" t="inlineStr">
        <is>
          <t>담임8</t>
        </is>
      </c>
      <c r="B9" s="46">
        <f>COUNT('평가'!J6:J29)</f>
        <v/>
      </c>
      <c r="C9" s="46">
        <f>COUNTIF(F9:AC9,"&gt;0")</f>
        <v/>
      </c>
      <c r="D9" s="46">
        <f>MAX(F9:AC9)</f>
        <v/>
      </c>
      <c r="E9" s="46">
        <f>IF(B9=0,"no response yet",IF(B9&lt;24,"missing depts",IF(C9=1,"all one group?",IF(C9&gt;18,"too many groups?","OK"))))</f>
        <v/>
      </c>
      <c r="F9" s="47">
        <f>COUNTIF('평가'!$J$6:$J$29,1)</f>
        <v/>
      </c>
      <c r="G9" s="47">
        <f>COUNTIF('평가'!$J$6:$J$29,2)</f>
        <v/>
      </c>
      <c r="H9" s="47">
        <f>COUNTIF('평가'!$J$6:$J$29,3)</f>
        <v/>
      </c>
      <c r="I9" s="47">
        <f>COUNTIF('평가'!$J$6:$J$29,4)</f>
        <v/>
      </c>
      <c r="J9" s="47">
        <f>COUNTIF('평가'!$J$6:$J$29,5)</f>
        <v/>
      </c>
      <c r="K9" s="47">
        <f>COUNTIF('평가'!$J$6:$J$29,6)</f>
        <v/>
      </c>
      <c r="L9" s="47">
        <f>COUNTIF('평가'!$J$6:$J$29,7)</f>
        <v/>
      </c>
      <c r="M9" s="47">
        <f>COUNTIF('평가'!$J$6:$J$29,8)</f>
        <v/>
      </c>
      <c r="N9" s="47">
        <f>COUNTIF('평가'!$J$6:$J$29,9)</f>
        <v/>
      </c>
      <c r="O9" s="47">
        <f>COUNTIF('평가'!$J$6:$J$29,10)</f>
        <v/>
      </c>
      <c r="P9" s="47">
        <f>COUNTIF('평가'!$J$6:$J$29,11)</f>
        <v/>
      </c>
      <c r="Q9" s="47">
        <f>COUNTIF('평가'!$J$6:$J$29,12)</f>
        <v/>
      </c>
      <c r="R9" s="47">
        <f>COUNTIF('평가'!$J$6:$J$29,13)</f>
        <v/>
      </c>
      <c r="S9" s="47">
        <f>COUNTIF('평가'!$J$6:$J$29,14)</f>
        <v/>
      </c>
      <c r="T9" s="47">
        <f>COUNTIF('평가'!$J$6:$J$29,15)</f>
        <v/>
      </c>
      <c r="U9" s="47">
        <f>COUNTIF('평가'!$J$6:$J$29,16)</f>
        <v/>
      </c>
      <c r="V9" s="47">
        <f>COUNTIF('평가'!$J$6:$J$29,17)</f>
        <v/>
      </c>
      <c r="W9" s="47">
        <f>COUNTIF('평가'!$J$6:$J$29,18)</f>
        <v/>
      </c>
      <c r="X9" s="47">
        <f>COUNTIF('평가'!$J$6:$J$29,19)</f>
        <v/>
      </c>
      <c r="Y9" s="47">
        <f>COUNTIF('평가'!$J$6:$J$29,20)</f>
        <v/>
      </c>
      <c r="Z9" s="47">
        <f>COUNTIF('평가'!$J$6:$J$29,21)</f>
        <v/>
      </c>
      <c r="AA9" s="47">
        <f>COUNTIF('평가'!$J$6:$J$29,22)</f>
        <v/>
      </c>
      <c r="AB9" s="47">
        <f>COUNTIF('평가'!$J$6:$J$29,23)</f>
        <v/>
      </c>
      <c r="AC9" s="47">
        <f>COUNTIF('평가'!$J$6:$J$29,24)</f>
        <v/>
      </c>
    </row>
    <row r="10">
      <c r="A10" s="46" t="inlineStr">
        <is>
          <t>담임9</t>
        </is>
      </c>
      <c r="B10" s="46">
        <f>COUNT('평가'!K6:K29)</f>
        <v/>
      </c>
      <c r="C10" s="46">
        <f>COUNTIF(F10:AC10,"&gt;0")</f>
        <v/>
      </c>
      <c r="D10" s="46">
        <f>MAX(F10:AC10)</f>
        <v/>
      </c>
      <c r="E10" s="46">
        <f>IF(B10=0,"no response yet",IF(B10&lt;24,"missing depts",IF(C10=1,"all one group?",IF(C10&gt;18,"too many groups?","OK"))))</f>
        <v/>
      </c>
      <c r="F10" s="47">
        <f>COUNTIF('평가'!$K$6:$K$29,1)</f>
        <v/>
      </c>
      <c r="G10" s="47">
        <f>COUNTIF('평가'!$K$6:$K$29,2)</f>
        <v/>
      </c>
      <c r="H10" s="47">
        <f>COUNTIF('평가'!$K$6:$K$29,3)</f>
        <v/>
      </c>
      <c r="I10" s="47">
        <f>COUNTIF('평가'!$K$6:$K$29,4)</f>
        <v/>
      </c>
      <c r="J10" s="47">
        <f>COUNTIF('평가'!$K$6:$K$29,5)</f>
        <v/>
      </c>
      <c r="K10" s="47">
        <f>COUNTIF('평가'!$K$6:$K$29,6)</f>
        <v/>
      </c>
      <c r="L10" s="47">
        <f>COUNTIF('평가'!$K$6:$K$29,7)</f>
        <v/>
      </c>
      <c r="M10" s="47">
        <f>COUNTIF('평가'!$K$6:$K$29,8)</f>
        <v/>
      </c>
      <c r="N10" s="47">
        <f>COUNTIF('평가'!$K$6:$K$29,9)</f>
        <v/>
      </c>
      <c r="O10" s="47">
        <f>COUNTIF('평가'!$K$6:$K$29,10)</f>
        <v/>
      </c>
      <c r="P10" s="47">
        <f>COUNTIF('평가'!$K$6:$K$29,11)</f>
        <v/>
      </c>
      <c r="Q10" s="47">
        <f>COUNTIF('평가'!$K$6:$K$29,12)</f>
        <v/>
      </c>
      <c r="R10" s="47">
        <f>COUNTIF('평가'!$K$6:$K$29,13)</f>
        <v/>
      </c>
      <c r="S10" s="47">
        <f>COUNTIF('평가'!$K$6:$K$29,14)</f>
        <v/>
      </c>
      <c r="T10" s="47">
        <f>COUNTIF('평가'!$K$6:$K$29,15)</f>
        <v/>
      </c>
      <c r="U10" s="47">
        <f>COUNTIF('평가'!$K$6:$K$29,16)</f>
        <v/>
      </c>
      <c r="V10" s="47">
        <f>COUNTIF('평가'!$K$6:$K$29,17)</f>
        <v/>
      </c>
      <c r="W10" s="47">
        <f>COUNTIF('평가'!$K$6:$K$29,18)</f>
        <v/>
      </c>
      <c r="X10" s="47">
        <f>COUNTIF('평가'!$K$6:$K$29,19)</f>
        <v/>
      </c>
      <c r="Y10" s="47">
        <f>COUNTIF('평가'!$K$6:$K$29,20)</f>
        <v/>
      </c>
      <c r="Z10" s="47">
        <f>COUNTIF('평가'!$K$6:$K$29,21)</f>
        <v/>
      </c>
      <c r="AA10" s="47">
        <f>COUNTIF('평가'!$K$6:$K$29,22)</f>
        <v/>
      </c>
      <c r="AB10" s="47">
        <f>COUNTIF('평가'!$K$6:$K$29,23)</f>
        <v/>
      </c>
      <c r="AC10" s="47">
        <f>COUNTIF('평가'!$K$6:$K$29,24)</f>
        <v/>
      </c>
    </row>
    <row r="11">
      <c r="A11" s="46" t="inlineStr">
        <is>
          <t>담임10</t>
        </is>
      </c>
      <c r="B11" s="46">
        <f>COUNT('평가'!L6:L29)</f>
        <v/>
      </c>
      <c r="C11" s="46">
        <f>COUNTIF(F11:AC11,"&gt;0")</f>
        <v/>
      </c>
      <c r="D11" s="46">
        <f>MAX(F11:AC11)</f>
        <v/>
      </c>
      <c r="E11" s="46">
        <f>IF(B11=0,"no response yet",IF(B11&lt;24,"missing depts",IF(C11=1,"all one group?",IF(C11&gt;18,"too many groups?","OK"))))</f>
        <v/>
      </c>
      <c r="F11" s="47">
        <f>COUNTIF('평가'!$L$6:$L$29,1)</f>
        <v/>
      </c>
      <c r="G11" s="47">
        <f>COUNTIF('평가'!$L$6:$L$29,2)</f>
        <v/>
      </c>
      <c r="H11" s="47">
        <f>COUNTIF('평가'!$L$6:$L$29,3)</f>
        <v/>
      </c>
      <c r="I11" s="47">
        <f>COUNTIF('평가'!$L$6:$L$29,4)</f>
        <v/>
      </c>
      <c r="J11" s="47">
        <f>COUNTIF('평가'!$L$6:$L$29,5)</f>
        <v/>
      </c>
      <c r="K11" s="47">
        <f>COUNTIF('평가'!$L$6:$L$29,6)</f>
        <v/>
      </c>
      <c r="L11" s="47">
        <f>COUNTIF('평가'!$L$6:$L$29,7)</f>
        <v/>
      </c>
      <c r="M11" s="47">
        <f>COUNTIF('평가'!$L$6:$L$29,8)</f>
        <v/>
      </c>
      <c r="N11" s="47">
        <f>COUNTIF('평가'!$L$6:$L$29,9)</f>
        <v/>
      </c>
      <c r="O11" s="47">
        <f>COUNTIF('평가'!$L$6:$L$29,10)</f>
        <v/>
      </c>
      <c r="P11" s="47">
        <f>COUNTIF('평가'!$L$6:$L$29,11)</f>
        <v/>
      </c>
      <c r="Q11" s="47">
        <f>COUNTIF('평가'!$L$6:$L$29,12)</f>
        <v/>
      </c>
      <c r="R11" s="47">
        <f>COUNTIF('평가'!$L$6:$L$29,13)</f>
        <v/>
      </c>
      <c r="S11" s="47">
        <f>COUNTIF('평가'!$L$6:$L$29,14)</f>
        <v/>
      </c>
      <c r="T11" s="47">
        <f>COUNTIF('평가'!$L$6:$L$29,15)</f>
        <v/>
      </c>
      <c r="U11" s="47">
        <f>COUNTIF('평가'!$L$6:$L$29,16)</f>
        <v/>
      </c>
      <c r="V11" s="47">
        <f>COUNTIF('평가'!$L$6:$L$29,17)</f>
        <v/>
      </c>
      <c r="W11" s="47">
        <f>COUNTIF('평가'!$L$6:$L$29,18)</f>
        <v/>
      </c>
      <c r="X11" s="47">
        <f>COUNTIF('평가'!$L$6:$L$29,19)</f>
        <v/>
      </c>
      <c r="Y11" s="47">
        <f>COUNTIF('평가'!$L$6:$L$29,20)</f>
        <v/>
      </c>
      <c r="Z11" s="47">
        <f>COUNTIF('평가'!$L$6:$L$29,21)</f>
        <v/>
      </c>
      <c r="AA11" s="47">
        <f>COUNTIF('평가'!$L$6:$L$29,22)</f>
        <v/>
      </c>
      <c r="AB11" s="47">
        <f>COUNTIF('평가'!$L$6:$L$29,23)</f>
        <v/>
      </c>
      <c r="AC11" s="47">
        <f>COUNTIF('평가'!$L$6:$L$29,24)</f>
        <v/>
      </c>
    </row>
    <row r="12">
      <c r="A12" s="46" t="inlineStr">
        <is>
          <t>담임11</t>
        </is>
      </c>
      <c r="B12" s="46">
        <f>COUNT('평가'!M6:M29)</f>
        <v/>
      </c>
      <c r="C12" s="46">
        <f>COUNTIF(F12:AC12,"&gt;0")</f>
        <v/>
      </c>
      <c r="D12" s="46">
        <f>MAX(F12:AC12)</f>
        <v/>
      </c>
      <c r="E12" s="46">
        <f>IF(B12=0,"no response yet",IF(B12&lt;24,"missing depts",IF(C12=1,"all one group?",IF(C12&gt;18,"too many groups?","OK"))))</f>
        <v/>
      </c>
      <c r="F12" s="47">
        <f>COUNTIF('평가'!$M$6:$M$29,1)</f>
        <v/>
      </c>
      <c r="G12" s="47">
        <f>COUNTIF('평가'!$M$6:$M$29,2)</f>
        <v/>
      </c>
      <c r="H12" s="47">
        <f>COUNTIF('평가'!$M$6:$M$29,3)</f>
        <v/>
      </c>
      <c r="I12" s="47">
        <f>COUNTIF('평가'!$M$6:$M$29,4)</f>
        <v/>
      </c>
      <c r="J12" s="47">
        <f>COUNTIF('평가'!$M$6:$M$29,5)</f>
        <v/>
      </c>
      <c r="K12" s="47">
        <f>COUNTIF('평가'!$M$6:$M$29,6)</f>
        <v/>
      </c>
      <c r="L12" s="47">
        <f>COUNTIF('평가'!$M$6:$M$29,7)</f>
        <v/>
      </c>
      <c r="M12" s="47">
        <f>COUNTIF('평가'!$M$6:$M$29,8)</f>
        <v/>
      </c>
      <c r="N12" s="47">
        <f>COUNTIF('평가'!$M$6:$M$29,9)</f>
        <v/>
      </c>
      <c r="O12" s="47">
        <f>COUNTIF('평가'!$M$6:$M$29,10)</f>
        <v/>
      </c>
      <c r="P12" s="47">
        <f>COUNTIF('평가'!$M$6:$M$29,11)</f>
        <v/>
      </c>
      <c r="Q12" s="47">
        <f>COUNTIF('평가'!$M$6:$M$29,12)</f>
        <v/>
      </c>
      <c r="R12" s="47">
        <f>COUNTIF('평가'!$M$6:$M$29,13)</f>
        <v/>
      </c>
      <c r="S12" s="47">
        <f>COUNTIF('평가'!$M$6:$M$29,14)</f>
        <v/>
      </c>
      <c r="T12" s="47">
        <f>COUNTIF('평가'!$M$6:$M$29,15)</f>
        <v/>
      </c>
      <c r="U12" s="47">
        <f>COUNTIF('평가'!$M$6:$M$29,16)</f>
        <v/>
      </c>
      <c r="V12" s="47">
        <f>COUNTIF('평가'!$M$6:$M$29,17)</f>
        <v/>
      </c>
      <c r="W12" s="47">
        <f>COUNTIF('평가'!$M$6:$M$29,18)</f>
        <v/>
      </c>
      <c r="X12" s="47">
        <f>COUNTIF('평가'!$M$6:$M$29,19)</f>
        <v/>
      </c>
      <c r="Y12" s="47">
        <f>COUNTIF('평가'!$M$6:$M$29,20)</f>
        <v/>
      </c>
      <c r="Z12" s="47">
        <f>COUNTIF('평가'!$M$6:$M$29,21)</f>
        <v/>
      </c>
      <c r="AA12" s="47">
        <f>COUNTIF('평가'!$M$6:$M$29,22)</f>
        <v/>
      </c>
      <c r="AB12" s="47">
        <f>COUNTIF('평가'!$M$6:$M$29,23)</f>
        <v/>
      </c>
      <c r="AC12" s="47">
        <f>COUNTIF('평가'!$M$6:$M$29,24)</f>
        <v/>
      </c>
    </row>
    <row r="13">
      <c r="A13" s="46" t="inlineStr">
        <is>
          <t>담임12</t>
        </is>
      </c>
      <c r="B13" s="46">
        <f>COUNT('평가'!N6:N29)</f>
        <v/>
      </c>
      <c r="C13" s="46">
        <f>COUNTIF(F13:AC13,"&gt;0")</f>
        <v/>
      </c>
      <c r="D13" s="46">
        <f>MAX(F13:AC13)</f>
        <v/>
      </c>
      <c r="E13" s="46">
        <f>IF(B13=0,"no response yet",IF(B13&lt;24,"missing depts",IF(C13=1,"all one group?",IF(C13&gt;18,"too many groups?","OK"))))</f>
        <v/>
      </c>
      <c r="F13" s="47">
        <f>COUNTIF('평가'!$N$6:$N$29,1)</f>
        <v/>
      </c>
      <c r="G13" s="47">
        <f>COUNTIF('평가'!$N$6:$N$29,2)</f>
        <v/>
      </c>
      <c r="H13" s="47">
        <f>COUNTIF('평가'!$N$6:$N$29,3)</f>
        <v/>
      </c>
      <c r="I13" s="47">
        <f>COUNTIF('평가'!$N$6:$N$29,4)</f>
        <v/>
      </c>
      <c r="J13" s="47">
        <f>COUNTIF('평가'!$N$6:$N$29,5)</f>
        <v/>
      </c>
      <c r="K13" s="47">
        <f>COUNTIF('평가'!$N$6:$N$29,6)</f>
        <v/>
      </c>
      <c r="L13" s="47">
        <f>COUNTIF('평가'!$N$6:$N$29,7)</f>
        <v/>
      </c>
      <c r="M13" s="47">
        <f>COUNTIF('평가'!$N$6:$N$29,8)</f>
        <v/>
      </c>
      <c r="N13" s="47">
        <f>COUNTIF('평가'!$N$6:$N$29,9)</f>
        <v/>
      </c>
      <c r="O13" s="47">
        <f>COUNTIF('평가'!$N$6:$N$29,10)</f>
        <v/>
      </c>
      <c r="P13" s="47">
        <f>COUNTIF('평가'!$N$6:$N$29,11)</f>
        <v/>
      </c>
      <c r="Q13" s="47">
        <f>COUNTIF('평가'!$N$6:$N$29,12)</f>
        <v/>
      </c>
      <c r="R13" s="47">
        <f>COUNTIF('평가'!$N$6:$N$29,13)</f>
        <v/>
      </c>
      <c r="S13" s="47">
        <f>COUNTIF('평가'!$N$6:$N$29,14)</f>
        <v/>
      </c>
      <c r="T13" s="47">
        <f>COUNTIF('평가'!$N$6:$N$29,15)</f>
        <v/>
      </c>
      <c r="U13" s="47">
        <f>COUNTIF('평가'!$N$6:$N$29,16)</f>
        <v/>
      </c>
      <c r="V13" s="47">
        <f>COUNTIF('평가'!$N$6:$N$29,17)</f>
        <v/>
      </c>
      <c r="W13" s="47">
        <f>COUNTIF('평가'!$N$6:$N$29,18)</f>
        <v/>
      </c>
      <c r="X13" s="47">
        <f>COUNTIF('평가'!$N$6:$N$29,19)</f>
        <v/>
      </c>
      <c r="Y13" s="47">
        <f>COUNTIF('평가'!$N$6:$N$29,20)</f>
        <v/>
      </c>
      <c r="Z13" s="47">
        <f>COUNTIF('평가'!$N$6:$N$29,21)</f>
        <v/>
      </c>
      <c r="AA13" s="47">
        <f>COUNTIF('평가'!$N$6:$N$29,22)</f>
        <v/>
      </c>
      <c r="AB13" s="47">
        <f>COUNTIF('평가'!$N$6:$N$29,23)</f>
        <v/>
      </c>
      <c r="AC13" s="47">
        <f>COUNTIF('평가'!$N$6:$N$29,24)</f>
        <v/>
      </c>
    </row>
    <row r="14">
      <c r="A14" s="46" t="inlineStr">
        <is>
          <t>담임13</t>
        </is>
      </c>
      <c r="B14" s="46">
        <f>COUNT('평가'!O6:O29)</f>
        <v/>
      </c>
      <c r="C14" s="46">
        <f>COUNTIF(F14:AC14,"&gt;0")</f>
        <v/>
      </c>
      <c r="D14" s="46">
        <f>MAX(F14:AC14)</f>
        <v/>
      </c>
      <c r="E14" s="46">
        <f>IF(B14=0,"no response yet",IF(B14&lt;24,"missing depts",IF(C14=1,"all one group?",IF(C14&gt;18,"too many groups?","OK"))))</f>
        <v/>
      </c>
      <c r="F14" s="47">
        <f>COUNTIF('평가'!$O$6:$O$29,1)</f>
        <v/>
      </c>
      <c r="G14" s="47">
        <f>COUNTIF('평가'!$O$6:$O$29,2)</f>
        <v/>
      </c>
      <c r="H14" s="47">
        <f>COUNTIF('평가'!$O$6:$O$29,3)</f>
        <v/>
      </c>
      <c r="I14" s="47">
        <f>COUNTIF('평가'!$O$6:$O$29,4)</f>
        <v/>
      </c>
      <c r="J14" s="47">
        <f>COUNTIF('평가'!$O$6:$O$29,5)</f>
        <v/>
      </c>
      <c r="K14" s="47">
        <f>COUNTIF('평가'!$O$6:$O$29,6)</f>
        <v/>
      </c>
      <c r="L14" s="47">
        <f>COUNTIF('평가'!$O$6:$O$29,7)</f>
        <v/>
      </c>
      <c r="M14" s="47">
        <f>COUNTIF('평가'!$O$6:$O$29,8)</f>
        <v/>
      </c>
      <c r="N14" s="47">
        <f>COUNTIF('평가'!$O$6:$O$29,9)</f>
        <v/>
      </c>
      <c r="O14" s="47">
        <f>COUNTIF('평가'!$O$6:$O$29,10)</f>
        <v/>
      </c>
      <c r="P14" s="47">
        <f>COUNTIF('평가'!$O$6:$O$29,11)</f>
        <v/>
      </c>
      <c r="Q14" s="47">
        <f>COUNTIF('평가'!$O$6:$O$29,12)</f>
        <v/>
      </c>
      <c r="R14" s="47">
        <f>COUNTIF('평가'!$O$6:$O$29,13)</f>
        <v/>
      </c>
      <c r="S14" s="47">
        <f>COUNTIF('평가'!$O$6:$O$29,14)</f>
        <v/>
      </c>
      <c r="T14" s="47">
        <f>COUNTIF('평가'!$O$6:$O$29,15)</f>
        <v/>
      </c>
      <c r="U14" s="47">
        <f>COUNTIF('평가'!$O$6:$O$29,16)</f>
        <v/>
      </c>
      <c r="V14" s="47">
        <f>COUNTIF('평가'!$O$6:$O$29,17)</f>
        <v/>
      </c>
      <c r="W14" s="47">
        <f>COUNTIF('평가'!$O$6:$O$29,18)</f>
        <v/>
      </c>
      <c r="X14" s="47">
        <f>COUNTIF('평가'!$O$6:$O$29,19)</f>
        <v/>
      </c>
      <c r="Y14" s="47">
        <f>COUNTIF('평가'!$O$6:$O$29,20)</f>
        <v/>
      </c>
      <c r="Z14" s="47">
        <f>COUNTIF('평가'!$O$6:$O$29,21)</f>
        <v/>
      </c>
      <c r="AA14" s="47">
        <f>COUNTIF('평가'!$O$6:$O$29,22)</f>
        <v/>
      </c>
      <c r="AB14" s="47">
        <f>COUNTIF('평가'!$O$6:$O$29,23)</f>
        <v/>
      </c>
      <c r="AC14" s="47">
        <f>COUNTIF('평가'!$O$6:$O$29,24)</f>
        <v/>
      </c>
    </row>
    <row r="15">
      <c r="A15" s="46" t="inlineStr">
        <is>
          <t>담임14</t>
        </is>
      </c>
      <c r="B15" s="46">
        <f>COUNT('평가'!P6:P29)</f>
        <v/>
      </c>
      <c r="C15" s="46">
        <f>COUNTIF(F15:AC15,"&gt;0")</f>
        <v/>
      </c>
      <c r="D15" s="46">
        <f>MAX(F15:AC15)</f>
        <v/>
      </c>
      <c r="E15" s="46">
        <f>IF(B15=0,"no response yet",IF(B15&lt;24,"missing depts",IF(C15=1,"all one group?",IF(C15&gt;18,"too many groups?","OK"))))</f>
        <v/>
      </c>
      <c r="F15" s="47">
        <f>COUNTIF('평가'!$P$6:$P$29,1)</f>
        <v/>
      </c>
      <c r="G15" s="47">
        <f>COUNTIF('평가'!$P$6:$P$29,2)</f>
        <v/>
      </c>
      <c r="H15" s="47">
        <f>COUNTIF('평가'!$P$6:$P$29,3)</f>
        <v/>
      </c>
      <c r="I15" s="47">
        <f>COUNTIF('평가'!$P$6:$P$29,4)</f>
        <v/>
      </c>
      <c r="J15" s="47">
        <f>COUNTIF('평가'!$P$6:$P$29,5)</f>
        <v/>
      </c>
      <c r="K15" s="47">
        <f>COUNTIF('평가'!$P$6:$P$29,6)</f>
        <v/>
      </c>
      <c r="L15" s="47">
        <f>COUNTIF('평가'!$P$6:$P$29,7)</f>
        <v/>
      </c>
      <c r="M15" s="47">
        <f>COUNTIF('평가'!$P$6:$P$29,8)</f>
        <v/>
      </c>
      <c r="N15" s="47">
        <f>COUNTIF('평가'!$P$6:$P$29,9)</f>
        <v/>
      </c>
      <c r="O15" s="47">
        <f>COUNTIF('평가'!$P$6:$P$29,10)</f>
        <v/>
      </c>
      <c r="P15" s="47">
        <f>COUNTIF('평가'!$P$6:$P$29,11)</f>
        <v/>
      </c>
      <c r="Q15" s="47">
        <f>COUNTIF('평가'!$P$6:$P$29,12)</f>
        <v/>
      </c>
      <c r="R15" s="47">
        <f>COUNTIF('평가'!$P$6:$P$29,13)</f>
        <v/>
      </c>
      <c r="S15" s="47">
        <f>COUNTIF('평가'!$P$6:$P$29,14)</f>
        <v/>
      </c>
      <c r="T15" s="47">
        <f>COUNTIF('평가'!$P$6:$P$29,15)</f>
        <v/>
      </c>
      <c r="U15" s="47">
        <f>COUNTIF('평가'!$P$6:$P$29,16)</f>
        <v/>
      </c>
      <c r="V15" s="47">
        <f>COUNTIF('평가'!$P$6:$P$29,17)</f>
        <v/>
      </c>
      <c r="W15" s="47">
        <f>COUNTIF('평가'!$P$6:$P$29,18)</f>
        <v/>
      </c>
      <c r="X15" s="47">
        <f>COUNTIF('평가'!$P$6:$P$29,19)</f>
        <v/>
      </c>
      <c r="Y15" s="47">
        <f>COUNTIF('평가'!$P$6:$P$29,20)</f>
        <v/>
      </c>
      <c r="Z15" s="47">
        <f>COUNTIF('평가'!$P$6:$P$29,21)</f>
        <v/>
      </c>
      <c r="AA15" s="47">
        <f>COUNTIF('평가'!$P$6:$P$29,22)</f>
        <v/>
      </c>
      <c r="AB15" s="47">
        <f>COUNTIF('평가'!$P$6:$P$29,23)</f>
        <v/>
      </c>
      <c r="AC15" s="47">
        <f>COUNTIF('평가'!$P$6:$P$29,24)</f>
        <v/>
      </c>
    </row>
    <row r="17">
      <c r="A17" s="33" t="inlineStr">
        <is>
          <t>How to read</t>
        </is>
      </c>
      <c r="B17" s="34" t="inlineStr">
        <is>
          <t>Group 1-24 columns count how many departments each respondent assigned to that group number.</t>
        </is>
      </c>
      <c r="C17" s="34" t="n"/>
      <c r="D17" s="34" t="n"/>
      <c r="E17" s="34" t="n"/>
    </row>
    <row r="18">
      <c r="A18" s="33" t="inlineStr">
        <is>
          <t>Used groups</t>
        </is>
      </c>
      <c r="B18" s="34" t="inlineStr">
        <is>
          <t>Number of non-empty group numbers used by the respondent.</t>
        </is>
      </c>
      <c r="C18" s="34" t="n"/>
      <c r="D18" s="34" t="n"/>
      <c r="E18" s="34" t="n"/>
    </row>
    <row r="19">
      <c r="A19" s="33" t="inlineStr">
        <is>
          <t>Largest group</t>
        </is>
      </c>
      <c r="B19" s="34" t="inlineStr">
        <is>
          <t>Size of the largest group. Review flags are not automatic exclusions.</t>
        </is>
      </c>
      <c r="C19" s="34" t="n"/>
      <c r="D19" s="34" t="n"/>
      <c r="E19" s="34" t="n"/>
    </row>
  </sheetData>
  <autoFilter ref="A1:AC15"/>
  <mergeCells count="3">
    <mergeCell ref="B17:E17"/>
    <mergeCell ref="B18:E18"/>
    <mergeCell ref="B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MEGA</dc:creator>
  <dcterms:created xmlns:dcterms="http://purl.org/dc/terms/" xmlns:xsi="http://www.w3.org/2001/XMLSchema-instance" xsi:type="dcterms:W3CDTF">2026-04-28T01:27:56Z</dcterms:created>
  <dcterms:modified xmlns:dcterms="http://purl.org/dc/terms/" xmlns:xsi="http://www.w3.org/2001/XMLSchema-instance" xsi:type="dcterms:W3CDTF">2026-05-14T09:59:42Z</dcterms:modified>
  <cp:lastModifiedBy>MEGA</cp:lastModifiedBy>
</cp:coreProperties>
</file>